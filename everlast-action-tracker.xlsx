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ctions" sheetId="2" state="visible" r:id="rId4"/>
    <sheet name="Playbooks" sheetId="3" state="visible" r:id="rId5"/>
    <sheet name="Close checklist" sheetId="4" state="visible" r:id="rId6"/>
    <sheet name="Operating rhythm" sheetId="5" state="visible" r:id="rId7"/>
  </sheets>
  <definedNames>
    <definedName function="false" hidden="true" localSheetId="1" name="_xlnm._FilterDatabase" vbProcedure="false">Actions!$A$1:$K$31</definedName>
    <definedName function="false" hidden="true" localSheetId="2" name="_xlnm._FilterDatabase" vbProcedure="false">Playbooks!$A$1:$G$46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<sst xmlns="http://schemas.openxmlformats.org/spreadsheetml/2006/main" count="599" uniqueCount="243">
  <si>
    <t xml:space="preserve">Everlast Welders — Action Tracker</t>
  </si>
  <si>
    <t xml:space="preserve">Sample for review, prepared Oct 16, 2026. Edit Status, Priority and Due on the Actions sheet; counts below update automatically.</t>
  </si>
  <si>
    <t xml:space="preserve">Legend: yellow cells on the Actions sheet are the ones to edit (Status, Priority, Due).</t>
  </si>
  <si>
    <t xml:space="preserve">Measure</t>
  </si>
  <si>
    <t xml:space="preserve">Count</t>
  </si>
  <si>
    <t xml:space="preserve">Open actions (not Done)</t>
  </si>
  <si>
    <t xml:space="preserve">Priority 1 open</t>
  </si>
  <si>
    <t xml:space="preserve">Priority 2 open</t>
  </si>
  <si>
    <t xml:space="preserve">Priority 3 open</t>
  </si>
  <si>
    <t xml:space="preserve">Follow-ups open</t>
  </si>
  <si>
    <t xml:space="preserve">Open questions</t>
  </si>
  <si>
    <t xml:space="preserve">Owner's items open</t>
  </si>
  <si>
    <t xml:space="preserve">Overdue (past due, not Done)</t>
  </si>
  <si>
    <t xml:space="preserve">Done</t>
  </si>
  <si>
    <t xml:space="preserve">ID</t>
  </si>
  <si>
    <t xml:space="preserve">Action</t>
  </si>
  <si>
    <t xml:space="preserve">Type</t>
  </si>
  <si>
    <t xml:space="preserve">Priority</t>
  </si>
  <si>
    <t xml:space="preserve">Owner</t>
  </si>
  <si>
    <t xml:space="preserve">Due</t>
  </si>
  <si>
    <t xml:space="preserve">Days to due</t>
  </si>
  <si>
    <t xml:space="preserve">Status</t>
  </si>
  <si>
    <t xml:space="preserve">Area</t>
  </si>
  <si>
    <t xml:space="preserve">Next step</t>
  </si>
  <si>
    <t xml:space="preserve">Playbook</t>
  </si>
  <si>
    <t xml:space="preserve">A02</t>
  </si>
  <si>
    <t xml:space="preserve">Confirm QuickBooks Online is the ledger and get accountant access</t>
  </si>
  <si>
    <t xml:space="preserve">Follow-up</t>
  </si>
  <si>
    <t xml:space="preserve">P1</t>
  </si>
  <si>
    <t xml:space="preserve">Waiting</t>
  </si>
  <si>
    <t xml:space="preserve">Setup</t>
  </si>
  <si>
    <t xml:space="preserve">Owner sends accountant invite from QuickBooks settings</t>
  </si>
  <si>
    <t xml:space="preserve">PB-COA</t>
  </si>
  <si>
    <t xml:space="preserve">A03</t>
  </si>
  <si>
    <t xml:space="preserve">Accrual or cash basis? Calendar or fiscal year?</t>
  </si>
  <si>
    <t xml:space="preserve">Open question</t>
  </si>
  <si>
    <t xml:space="preserve">Open</t>
  </si>
  <si>
    <t xml:space="preserve">Confirm with CPA; plan assumes accrual, calendar year</t>
  </si>
  <si>
    <t xml:space="preserve">A08</t>
  </si>
  <si>
    <t xml:space="preserve">Is inventory tracked in QuickBooks or a separate system?</t>
  </si>
  <si>
    <t xml:space="preserve">Inventory</t>
  </si>
  <si>
    <t xml:space="preserve">Decides how COGS and stock reports are built</t>
  </si>
  <si>
    <t xml:space="preserve">PB-INV</t>
  </si>
  <si>
    <t xml:space="preserve">A04</t>
  </si>
  <si>
    <t xml:space="preserve">Get access to website store, Amazon and payment processor reports</t>
  </si>
  <si>
    <t xml:space="preserve">Sales channels</t>
  </si>
  <si>
    <t xml:space="preserve">Read-only report access for each channel</t>
  </si>
  <si>
    <t xml:space="preserve">PB-REC</t>
  </si>
  <si>
    <t xml:space="preserve">A06</t>
  </si>
  <si>
    <t xml:space="preserve">Map current chart of accounts to product-line and channel structure</t>
  </si>
  <si>
    <t xml:space="preserve">To-do</t>
  </si>
  <si>
    <t xml:space="preserve">Bookkeeper</t>
  </si>
  <si>
    <t xml:space="preserve">Not started</t>
  </si>
  <si>
    <t xml:space="preserve">Export current accounts; draft mapping for owner review</t>
  </si>
  <si>
    <t xml:space="preserve">A05</t>
  </si>
  <si>
    <t xml:space="preserve">Reconcile Q3 2026 (Jul–Sep) bank, card and processor accounts</t>
  </si>
  <si>
    <t xml:space="preserve">Reconciliation</t>
  </si>
  <si>
    <t xml:space="preserve">Starting point for clean quarterly reports</t>
  </si>
  <si>
    <t xml:space="preserve">A01</t>
  </si>
  <si>
    <t xml:space="preserve">Deliver Forecasting &amp; Inventory Operations report for the new-year order</t>
  </si>
  <si>
    <t xml:space="preserve">In progress</t>
  </si>
  <si>
    <t xml:space="preserve">Forecasting</t>
  </si>
  <si>
    <t xml:space="preserve">Pull 2025 and 2026 unit sales by SKU; draft reorder quantities</t>
  </si>
  <si>
    <t xml:space="preserve">A16</t>
  </si>
  <si>
    <t xml:space="preserve">Seasonal Inventory sample: stock on hand vs last Nov–Dec sales by SKU</t>
  </si>
  <si>
    <t xml:space="preserve">Flag SKUs at risk of selling out before Christmas</t>
  </si>
  <si>
    <t xml:space="preserve">A14</t>
  </si>
  <si>
    <t xml:space="preserve">Deliver Q3 Financial &amp; Cost Intelligence report</t>
  </si>
  <si>
    <t xml:space="preserve">Reporting</t>
  </si>
  <si>
    <t xml:space="preserve">Depends on Q3 reconciliation</t>
  </si>
  <si>
    <t xml:space="preserve">PB-CLOSE</t>
  </si>
  <si>
    <t xml:space="preserve">A15</t>
  </si>
  <si>
    <t xml:space="preserve">Deliver Q3 Sales &amp; Pricing report</t>
  </si>
  <si>
    <t xml:space="preserve">Margin by product line and channel</t>
  </si>
  <si>
    <t xml:space="preserve">A18</t>
  </si>
  <si>
    <t xml:space="preserve">October month-end close</t>
  </si>
  <si>
    <t xml:space="preserve">Close</t>
  </si>
  <si>
    <t xml:space="preserve">Target: business day 10</t>
  </si>
  <si>
    <t xml:space="preserve">A21</t>
  </si>
  <si>
    <t xml:space="preserve">November month-end close</t>
  </si>
  <si>
    <t xml:space="preserve">A22</t>
  </si>
  <si>
    <t xml:space="preserve">Full physical inventory count</t>
  </si>
  <si>
    <t xml:space="preserve">Year-end valuation</t>
  </si>
  <si>
    <t xml:space="preserve">PB-COUNT</t>
  </si>
  <si>
    <t xml:space="preserve">A23</t>
  </si>
  <si>
    <t xml:space="preserve">December close and year-end packet for the CPA</t>
  </si>
  <si>
    <t xml:space="preserve">Year-end</t>
  </si>
  <si>
    <t xml:space="preserve">Includes fixed asset review</t>
  </si>
  <si>
    <t xml:space="preserve">A24</t>
  </si>
  <si>
    <t xml:space="preserve">Deliver Q4 Financial &amp; Sales reports</t>
  </si>
  <si>
    <t xml:space="preserve">Oct–Dec 2026</t>
  </si>
  <si>
    <t xml:space="preserve">A25</t>
  </si>
  <si>
    <t xml:space="preserve">1099 contractor list and W-9 check</t>
  </si>
  <si>
    <t xml:space="preserve">Contractors paid $600 or more</t>
  </si>
  <si>
    <t xml:space="preserve">PB-AP</t>
  </si>
  <si>
    <t xml:space="preserve">A07</t>
  </si>
  <si>
    <t xml:space="preserve">Are dealers sold on credit terms? Which terms?</t>
  </si>
  <si>
    <t xml:space="preserve">P2</t>
  </si>
  <si>
    <t xml:space="preserve">Receivables</t>
  </si>
  <si>
    <t xml:space="preserve">Sets the collections schedule</t>
  </si>
  <si>
    <t xml:space="preserve">PB-AR</t>
  </si>
  <si>
    <t xml:space="preserve">A09</t>
  </si>
  <si>
    <t xml:space="preserve">Supplier currency, and are deposits paid before shipment?</t>
  </si>
  <si>
    <t xml:space="preserve">Needed for landed cost and in-transit tracking</t>
  </si>
  <si>
    <t xml:space="preserve">PB-LC</t>
  </si>
  <si>
    <t xml:space="preserve">A17</t>
  </si>
  <si>
    <t xml:space="preserve">Send dealer past-due reminders (7, 30, 45 days)</t>
  </si>
  <si>
    <t xml:space="preserve">Run AR aging; send reminders by tier</t>
  </si>
  <si>
    <t xml:space="preserve">A28</t>
  </si>
  <si>
    <t xml:space="preserve">Owner approval of this week's payment run</t>
  </si>
  <si>
    <t xml:space="preserve">Payables</t>
  </si>
  <si>
    <t xml:space="preserve">Recurring every Friday</t>
  </si>
  <si>
    <t xml:space="preserve">A11</t>
  </si>
  <si>
    <t xml:space="preserve">Set up clearing accounts for each processor and marketplace</t>
  </si>
  <si>
    <t xml:space="preserve">One clearing account per payout source</t>
  </si>
  <si>
    <t xml:space="preserve">A10</t>
  </si>
  <si>
    <t xml:space="preserve">Confirm sales tax nexus states with the CPA</t>
  </si>
  <si>
    <t xml:space="preserve">CPA</t>
  </si>
  <si>
    <t xml:space="preserve">Sales tax</t>
  </si>
  <si>
    <t xml:space="preserve">List states with economic or physical nexus</t>
  </si>
  <si>
    <t xml:space="preserve">A12</t>
  </si>
  <si>
    <t xml:space="preserve">Build landed-cost template for import shipments</t>
  </si>
  <si>
    <t xml:space="preserve">Spread freight, duties and brokerage by value</t>
  </si>
  <si>
    <t xml:space="preserve">A13</t>
  </si>
  <si>
    <t xml:space="preserve">Set up warranty reserve account and monthly accrual rate</t>
  </si>
  <si>
    <t xml:space="preserve">COGS &amp; warranty</t>
  </si>
  <si>
    <t xml:space="preserve">Base the rate on the last 12 months of claims</t>
  </si>
  <si>
    <t xml:space="preserve">A20</t>
  </si>
  <si>
    <t xml:space="preserve">Quarterly cycle count of top 20% of SKUs</t>
  </si>
  <si>
    <t xml:space="preserve">Before the holiday rush peaks</t>
  </si>
  <si>
    <t xml:space="preserve">A26</t>
  </si>
  <si>
    <t xml:space="preserve">Full-year 2026 report</t>
  </si>
  <si>
    <t xml:space="preserve">Then resume quarterly</t>
  </si>
  <si>
    <t xml:space="preserve">A30</t>
  </si>
  <si>
    <t xml:space="preserve">Who receives the monthly reporting packet?</t>
  </si>
  <si>
    <t xml:space="preserve">P3</t>
  </si>
  <si>
    <t xml:space="preserve">Names and delivery format</t>
  </si>
  <si>
    <t xml:space="preserve">A27</t>
  </si>
  <si>
    <t xml:space="preserve">Compare supplier statements to the ledger</t>
  </si>
  <si>
    <t xml:space="preserve">Monthly; resolve differences before close</t>
  </si>
  <si>
    <t xml:space="preserve">A19</t>
  </si>
  <si>
    <t xml:space="preserve">Set QuickBooks user roles and lock closed periods</t>
  </si>
  <si>
    <t xml:space="preserve">Controls</t>
  </si>
  <si>
    <t xml:space="preserve">Least access each role needs</t>
  </si>
  <si>
    <t xml:space="preserve">A29</t>
  </si>
  <si>
    <t xml:space="preserve">Social Media &amp; Demand Generation sample</t>
  </si>
  <si>
    <t xml:space="preserve">Ad spend vs sales by channel</t>
  </si>
  <si>
    <t xml:space="preserve">Title</t>
  </si>
  <si>
    <t xml:space="preserve">Frequency</t>
  </si>
  <si>
    <t xml:space="preserve">Step</t>
  </si>
  <si>
    <t xml:space="preserve">Instruction</t>
  </si>
  <si>
    <t xml:space="preserve">Done?</t>
  </si>
  <si>
    <t xml:space="preserve">Month-end close</t>
  </si>
  <si>
    <t xml:space="preserve">Monthly</t>
  </si>
  <si>
    <t xml:space="preserve">Reconcile every bank, credit card and loan account</t>
  </si>
  <si>
    <t xml:space="preserve">Clear each processor and marketplace clearing account</t>
  </si>
  <si>
    <t xml:space="preserve">Receive all inventory shipments and post landed costs</t>
  </si>
  <si>
    <t xml:space="preserve">Post inventory adjustments from counts and returns</t>
  </si>
  <si>
    <t xml:space="preserve">Accrue warranty reserve and unpaid bills</t>
  </si>
  <si>
    <t xml:space="preserve">Review AR and AP aging for errors and stale items</t>
  </si>
  <si>
    <t xml:space="preserve">Confirm sales tax liability matches filed returns</t>
  </si>
  <si>
    <t xml:space="preserve">Review P&amp;L and balance sheet vs last month and last year</t>
  </si>
  <si>
    <t xml:space="preserve">Lock the period in QuickBooks</t>
  </si>
  <si>
    <t xml:space="preserve">Deliver the monthly reporting packet</t>
  </si>
  <si>
    <t xml:space="preserve">Sales channel reconciliation</t>
  </si>
  <si>
    <t xml:space="preserve">Weekly and monthly</t>
  </si>
  <si>
    <t xml:space="preserve">Record gross sales by product line from each channel's report</t>
  </si>
  <si>
    <t xml:space="preserve">Record fees, refunds, chargebacks and shipping as separate lines</t>
  </si>
  <si>
    <t xml:space="preserve">Post the net payout from the clearing account to the bank deposit</t>
  </si>
  <si>
    <t xml:space="preserve">Confirm each clearing account is zero or holds known in-transit payouts</t>
  </si>
  <si>
    <t xml:space="preserve">Match returned units to restocked inventory or a write-off</t>
  </si>
  <si>
    <t xml:space="preserve">Dealer collections</t>
  </si>
  <si>
    <t xml:space="preserve">Weekly</t>
  </si>
  <si>
    <t xml:space="preserve">Invoice the dealer the day the order ships</t>
  </si>
  <si>
    <t xml:space="preserve">Day 7 past due: friendly reminder with invoice attached</t>
  </si>
  <si>
    <t xml:space="preserve">Day 30 past due: firm reminder and phone call</t>
  </si>
  <si>
    <t xml:space="preserve">Day 45 past due: owner call; consider holding new orders</t>
  </si>
  <si>
    <t xml:space="preserve">Log every contact in the customer record</t>
  </si>
  <si>
    <t xml:space="preserve">Bills and payment run</t>
  </si>
  <si>
    <t xml:space="preserve">Enter and code new vendor bills by Wednesday</t>
  </si>
  <si>
    <t xml:space="preserve">Match each bill to its PO and receiving count</t>
  </si>
  <si>
    <t xml:space="preserve">Send the proposed payment list to the owner Thursday</t>
  </si>
  <si>
    <t xml:space="preserve">Owner approves the run Friday</t>
  </si>
  <si>
    <t xml:space="preserve">Release payments and attach remittance to each bill</t>
  </si>
  <si>
    <t xml:space="preserve">Landed cost for an import shipment</t>
  </si>
  <si>
    <t xml:space="preserve">Per shipment</t>
  </si>
  <si>
    <t xml:space="preserve">Hold the supplier bill in Inventory in transit</t>
  </si>
  <si>
    <t xml:space="preserve">Collect freight, duties, brokerage and drayage bills</t>
  </si>
  <si>
    <t xml:space="preserve">Spread those costs across units by value or weight</t>
  </si>
  <si>
    <t xml:space="preserve">Receive units at full landed cost when counted in</t>
  </si>
  <si>
    <t xml:space="preserve">Compare landed cost per unit to the last shipment</t>
  </si>
  <si>
    <t xml:space="preserve">Seasonal inventory and reorder review</t>
  </si>
  <si>
    <t xml:space="preserve">Before each season</t>
  </si>
  <si>
    <t xml:space="preserve">Pull unit sales by SKU for the same months last year</t>
  </si>
  <si>
    <t xml:space="preserve">Compare to stock on hand plus open POs</t>
  </si>
  <si>
    <t xml:space="preserve">Flag SKUs with under 6 weeks of cover</t>
  </si>
  <si>
    <t xml:space="preserve">List slow movers to discount instead of reorder</t>
  </si>
  <si>
    <t xml:space="preserve">Owner signs off the reorder list</t>
  </si>
  <si>
    <t xml:space="preserve">Inventory count</t>
  </si>
  <si>
    <t xml:space="preserve">Quarterly and Dec 31</t>
  </si>
  <si>
    <t xml:space="preserve">Freeze receiving and shipping during the count</t>
  </si>
  <si>
    <t xml:space="preserve">Count by bin with two people per area</t>
  </si>
  <si>
    <t xml:space="preserve">Enter counts and review differences over 2%</t>
  </si>
  <si>
    <t xml:space="preserve">Post adjustments to Inventory adjustments and shrink</t>
  </si>
  <si>
    <t xml:space="preserve">Note causes and fixes for repeat differences</t>
  </si>
  <si>
    <t xml:space="preserve">Chart of accounts setup</t>
  </si>
  <si>
    <t xml:space="preserve">Once, then yearly</t>
  </si>
  <si>
    <t xml:space="preserve">Export the current chart of accounts</t>
  </si>
  <si>
    <t xml:space="preserve">Map revenue and COGS to product lines</t>
  </si>
  <si>
    <t xml:space="preserve">Set up classes for each sales channel</t>
  </si>
  <si>
    <t xml:space="preserve">Add warranty, clearing and in-transit accounts</t>
  </si>
  <si>
    <t xml:space="preserve">Owner reviews and approves the new structure</t>
  </si>
  <si>
    <t xml:space="preserve">Business day</t>
  </si>
  <si>
    <t xml:space="preserve">Oct close</t>
  </si>
  <si>
    <t xml:space="preserve">Nov close</t>
  </si>
  <si>
    <t xml:space="preserve">Dec close</t>
  </si>
  <si>
    <t xml:space="preserve">Steps done (mark each with ✓)</t>
  </si>
  <si>
    <t xml:space="preserve">Due: Oct close Nov 13, 2026 · Nov close Dec 14, 2026 · Dec close and year-end packet Jan 15, 2027</t>
  </si>
  <si>
    <t xml:space="preserve">Task</t>
  </si>
  <si>
    <t xml:space="preserve">Daily</t>
  </si>
  <si>
    <t xml:space="preserve">Categorize bank and card feeds</t>
  </si>
  <si>
    <t xml:space="preserve">Record customer deposits</t>
  </si>
  <si>
    <t xml:space="preserve">Flag large or unusual transactions</t>
  </si>
  <si>
    <t xml:space="preserve">Import sales summaries from each channel</t>
  </si>
  <si>
    <t xml:space="preserve">Enter and code vendor bills</t>
  </si>
  <si>
    <t xml:space="preserve">Send dealer invoices; chase past-due</t>
  </si>
  <si>
    <t xml:space="preserve">Match processor payouts to deposits</t>
  </si>
  <si>
    <t xml:space="preserve">Reconcile bank, card and processor accounts</t>
  </si>
  <si>
    <t xml:space="preserve">Post inventory and COGS adjustments</t>
  </si>
  <si>
    <t xml:space="preserve">Accrue warranty reserve</t>
  </si>
  <si>
    <t xml:space="preserve">Record payroll by department</t>
  </si>
  <si>
    <t xml:space="preserve">File sales tax returns as due</t>
  </si>
  <si>
    <t xml:space="preserve">Close books; deliver reporting packet</t>
  </si>
  <si>
    <t xml:space="preserve">Quarterly</t>
  </si>
  <si>
    <t xml:space="preserve">Cycle count top-selling SKUs</t>
  </si>
  <si>
    <t xml:space="preserve">Review inventory aging and slow movers</t>
  </si>
  <si>
    <t xml:space="preserve">Estimated tax figures for the CPA</t>
  </si>
  <si>
    <t xml:space="preserve">Financial &amp; Cost and Sales &amp; Pricing reports</t>
  </si>
  <si>
    <t xml:space="preserve">Annually</t>
  </si>
  <si>
    <t xml:space="preserve">Full physical inventory count (Dec 31)</t>
  </si>
  <si>
    <t xml:space="preserve">1099 list and W-9 check</t>
  </si>
  <si>
    <t xml:space="preserve">Fixed asset and depreciation review</t>
  </si>
  <si>
    <t xml:space="preserve">Year-end packet for the CPA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</si>
</sst>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 d&quot;, &quot;yyyy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5191F"/>
      <name val="Arial"/>
      <family val="0"/>
      <charset val="1"/>
    </font>
    <font>
      <i val="true"/>
      <sz val="11"/>
      <color rgb="FF5A6170"/>
      <name val="Arial"/>
      <family val="0"/>
      <charset val="1"/>
    </font>
    <font>
      <sz val="11"/>
      <color rgb="FF5A6170"/>
      <name val="Arial"/>
      <family val="0"/>
      <charset val="1"/>
    </font>
    <font>
      <b val="true"/>
      <sz val="11"/>
      <color rgb="FFF3F0E8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5191F"/>
        <bgColor rgb="FF000000"/>
      </patternFill>
    </fill>
    <fill>
      <patternFill patternType="solid">
        <fgColor rgb="FFFFF4C2"/>
        <bgColor rgb="FFF3F0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3B6"/>
      </left>
      <right style="thin">
        <color rgb="FFC9C3B6"/>
      </right>
      <top style="thin">
        <color rgb="FFC9C3B6"/>
      </top>
      <bottom style="thin">
        <color rgb="FFC9C3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519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3F0E8"/>
          <bgColor rgb="FF000000"/>
        </patternFill>
      </fill>
    </dxf>
    <dxf>
      <fill>
        <patternFill patternType="solid">
          <fgColor rgb="FFFFF4C2"/>
          <bgColor rgb="FF000000"/>
        </patternFill>
      </fill>
    </dxf>
    <dxf>
      <fill>
        <patternFill patternType="solid">
          <fgColor rgb="FF1E7A3C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ill>
        <patternFill patternType="solid">
          <fgColor rgb="FFB45F0E"/>
          <bgColor rgb="FF000000"/>
        </patternFill>
      </fill>
    </dxf>
    <dxf>
      <font>
        <name val="Arial"/>
        <charset val="1"/>
        <family val="0"/>
        <b val="1"/>
        <color rgb="FFB42318"/>
      </font>
    </dxf>
    <dxf>
      <font>
        <name val="Arial"/>
        <charset val="1"/>
        <family val="0"/>
        <b val="1"/>
        <color rgb="FFB45F0E"/>
      </font>
    </dxf>
    <dxf>
      <font>
        <name val="Arial"/>
        <charset val="1"/>
        <family val="0"/>
        <b val="1"/>
        <color rgb="FF1E7A3C"/>
      </font>
    </dxf>
    <dxf>
      <font>
        <name val="Arial"/>
        <charset val="1"/>
        <family val="0"/>
        <strike val="1"/>
        <color rgb="FF9AA0A8"/>
      </font>
    </dxf>
  </dxfs>
  <colors>
    <indexedColors>
      <rgbColor rgb="FF000000"/>
      <rgbColor rgb="FFF3F0E8"/>
      <rgbColor rgb="FFFF0000"/>
      <rgbColor rgb="FF00FF00"/>
      <rgbColor rgb="FF0000FF"/>
      <rgbColor rgb="FFFFFF00"/>
      <rgbColor rgb="FFFF00FF"/>
      <rgbColor rgb="FF00FFFF"/>
      <rgbColor rgb="FF800000"/>
      <rgbColor rgb="FF1E7A3C"/>
      <rgbColor rgb="FF000080"/>
      <rgbColor rgb="FFB45F0E"/>
      <rgbColor rgb="FF800080"/>
      <rgbColor rgb="FF008080"/>
      <rgbColor rgb="FFC9C3B6"/>
      <rgbColor rgb="FF808080"/>
      <rgbColor rgb="FF9999FF"/>
      <rgbColor rgb="FF993366"/>
      <rgbColor rgb="FFFFF4C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170"/>
      <rgbColor rgb="FF9AA0A8"/>
      <rgbColor rgb="FF003366"/>
      <rgbColor rgb="FF339966"/>
      <rgbColor rgb="FF15191F"/>
      <rgbColor rgb="FF333300"/>
      <rgbColor rgb="FFB423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5" t="n">
        <f aca="false">COUNTA(Actions!A2:A200)-COUNTIF(Actions!H2:H200,"Done")</f>
        <v>30</v>
      </c>
    </row>
    <row r="7" customFormat="false" ht="15" hidden="false" customHeight="false" outlineLevel="0" collapsed="false">
      <c r="A7" s="5" t="s">
        <v>6</v>
      </c>
      <c r="B7" s="5" t="n">
        <f aca="false">COUNTIFS(Actions!D2:D200,"P1",Actions!H2:H200,"&lt;&gt;Done")</f>
        <v>16</v>
      </c>
    </row>
    <row r="8" customFormat="false" ht="15" hidden="false" customHeight="false" outlineLevel="0" collapsed="false">
      <c r="A8" s="5" t="s">
        <v>7</v>
      </c>
      <c r="B8" s="5" t="n">
        <f aca="false">COUNTIFS(Actions!D2:D200,"P2",Actions!H2:H200,"&lt;&gt;Done")</f>
        <v>10</v>
      </c>
    </row>
    <row r="9" customFormat="false" ht="15" hidden="false" customHeight="false" outlineLevel="0" collapsed="false">
      <c r="A9" s="5" t="s">
        <v>8</v>
      </c>
      <c r="B9" s="5" t="n">
        <f aca="false">COUNTIFS(Actions!D2:D200,"P3",Actions!H2:H200,"&lt;&gt;Done")</f>
        <v>4</v>
      </c>
    </row>
    <row r="10" customFormat="false" ht="15" hidden="false" customHeight="false" outlineLevel="0" collapsed="false">
      <c r="A10" s="5" t="s">
        <v>9</v>
      </c>
      <c r="B10" s="5" t="n">
        <f aca="false">COUNTIFS(Actions!C2:C200,"Follow-up",Actions!H2:H200,"&lt;&gt;Done")</f>
        <v>6</v>
      </c>
    </row>
    <row r="11" customFormat="false" ht="15" hidden="false" customHeight="false" outlineLevel="0" collapsed="false">
      <c r="A11" s="5" t="s">
        <v>10</v>
      </c>
      <c r="B11" s="5" t="n">
        <f aca="false">COUNTIFS(Actions!C2:C200,"Open question",Actions!H2:H200,"&lt;&gt;Done")</f>
        <v>5</v>
      </c>
    </row>
    <row r="12" customFormat="false" ht="15" hidden="false" customHeight="false" outlineLevel="0" collapsed="false">
      <c r="A12" s="5" t="s">
        <v>11</v>
      </c>
      <c r="B12" s="5" t="n">
        <f aca="false">COUNTIFS(Actions!E2:E200,"Owner",Actions!H2:H200,"&lt;&gt;Done")</f>
        <v>11</v>
      </c>
    </row>
    <row r="13" customFormat="false" ht="15" hidden="false" customHeight="false" outlineLevel="0" collapsed="false">
      <c r="A13" s="5" t="s">
        <v>12</v>
      </c>
      <c r="B13" s="5" t="n">
        <f aca="true">SUMPRODUCT((Actions!F2:F200&lt;&gt;"")*(Actions!F2:F200&lt;TODAY())*(Actions!H2:H200&lt;&gt;"Done"))</f>
        <v>0</v>
      </c>
    </row>
    <row r="14" customFormat="false" ht="15" hidden="false" customHeight="false" outlineLevel="0" collapsed="false">
      <c r="A14" s="5" t="s">
        <v>13</v>
      </c>
      <c r="B14" s="5" t="n">
        <f aca="false">COUNTIF(Actions!H2:H200,"Done")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44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</row>
    <row r="2" customFormat="false" ht="26.85" hidden="false" customHeight="false" outlineLevel="0" collapsed="false">
      <c r="A2" s="7" t="s">
        <v>25</v>
      </c>
      <c r="B2" s="7" t="s">
        <v>26</v>
      </c>
      <c r="C2" s="7" t="s">
        <v>27</v>
      </c>
      <c r="D2" s="8" t="s">
        <v>28</v>
      </c>
      <c r="E2" s="7" t="s">
        <v>18</v>
      </c>
      <c r="F2" s="9" t="n">
        <v>46315</v>
      </c>
      <c r="G2" s="10" t="n">
        <f aca="true">IF(H2="Done","",F2-TODAY())</f>
        <v>4</v>
      </c>
      <c r="H2" s="8" t="s">
        <v>29</v>
      </c>
      <c r="I2" s="7" t="s">
        <v>30</v>
      </c>
      <c r="J2" s="7" t="s">
        <v>31</v>
      </c>
      <c r="K2" s="7" t="s">
        <v>32</v>
      </c>
    </row>
    <row r="3" customFormat="false" ht="26.85" hidden="false" customHeight="false" outlineLevel="0" collapsed="false">
      <c r="A3" s="7" t="s">
        <v>33</v>
      </c>
      <c r="B3" s="7" t="s">
        <v>34</v>
      </c>
      <c r="C3" s="7" t="s">
        <v>35</v>
      </c>
      <c r="D3" s="8" t="s">
        <v>28</v>
      </c>
      <c r="E3" s="7" t="s">
        <v>18</v>
      </c>
      <c r="F3" s="9" t="n">
        <v>46315</v>
      </c>
      <c r="G3" s="10" t="n">
        <f aca="true">IF(H3="Done","",F3-TODAY())</f>
        <v>4</v>
      </c>
      <c r="H3" s="8" t="s">
        <v>36</v>
      </c>
      <c r="I3" s="7" t="s">
        <v>30</v>
      </c>
      <c r="J3" s="7" t="s">
        <v>37</v>
      </c>
      <c r="K3" s="7" t="s">
        <v>32</v>
      </c>
    </row>
    <row r="4" customFormat="false" ht="26.85" hidden="false" customHeight="false" outlineLevel="0" collapsed="false">
      <c r="A4" s="7" t="s">
        <v>38</v>
      </c>
      <c r="B4" s="7" t="s">
        <v>39</v>
      </c>
      <c r="C4" s="7" t="s">
        <v>35</v>
      </c>
      <c r="D4" s="8" t="s">
        <v>28</v>
      </c>
      <c r="E4" s="7" t="s">
        <v>18</v>
      </c>
      <c r="F4" s="9" t="n">
        <v>46315</v>
      </c>
      <c r="G4" s="10" t="n">
        <f aca="true">IF(H4="Done","",F4-TODAY())</f>
        <v>4</v>
      </c>
      <c r="H4" s="8" t="s">
        <v>36</v>
      </c>
      <c r="I4" s="7" t="s">
        <v>40</v>
      </c>
      <c r="J4" s="7" t="s">
        <v>41</v>
      </c>
      <c r="K4" s="7" t="s">
        <v>42</v>
      </c>
    </row>
    <row r="5" customFormat="false" ht="26.85" hidden="false" customHeight="false" outlineLevel="0" collapsed="false">
      <c r="A5" s="7" t="s">
        <v>43</v>
      </c>
      <c r="B5" s="7" t="s">
        <v>44</v>
      </c>
      <c r="C5" s="7" t="s">
        <v>27</v>
      </c>
      <c r="D5" s="8" t="s">
        <v>28</v>
      </c>
      <c r="E5" s="7" t="s">
        <v>18</v>
      </c>
      <c r="F5" s="9" t="n">
        <v>46316</v>
      </c>
      <c r="G5" s="10" t="n">
        <f aca="true">IF(H5="Done","",F5-TODAY())</f>
        <v>5</v>
      </c>
      <c r="H5" s="8" t="s">
        <v>29</v>
      </c>
      <c r="I5" s="7" t="s">
        <v>45</v>
      </c>
      <c r="J5" s="7" t="s">
        <v>46</v>
      </c>
      <c r="K5" s="7" t="s">
        <v>47</v>
      </c>
    </row>
    <row r="6" customFormat="false" ht="26.85" hidden="false" customHeight="false" outlineLevel="0" collapsed="false">
      <c r="A6" s="7" t="s">
        <v>48</v>
      </c>
      <c r="B6" s="7" t="s">
        <v>49</v>
      </c>
      <c r="C6" s="7" t="s">
        <v>50</v>
      </c>
      <c r="D6" s="8" t="s">
        <v>28</v>
      </c>
      <c r="E6" s="7" t="s">
        <v>51</v>
      </c>
      <c r="F6" s="9" t="n">
        <v>46318</v>
      </c>
      <c r="G6" s="10" t="n">
        <f aca="true">IF(H6="Done","",F6-TODAY())</f>
        <v>7</v>
      </c>
      <c r="H6" s="8" t="s">
        <v>52</v>
      </c>
      <c r="I6" s="7" t="s">
        <v>30</v>
      </c>
      <c r="J6" s="7" t="s">
        <v>53</v>
      </c>
      <c r="K6" s="7" t="s">
        <v>32</v>
      </c>
    </row>
    <row r="7" customFormat="false" ht="26.85" hidden="false" customHeight="false" outlineLevel="0" collapsed="false">
      <c r="A7" s="7" t="s">
        <v>54</v>
      </c>
      <c r="B7" s="7" t="s">
        <v>55</v>
      </c>
      <c r="C7" s="7" t="s">
        <v>50</v>
      </c>
      <c r="D7" s="8" t="s">
        <v>28</v>
      </c>
      <c r="E7" s="7" t="s">
        <v>51</v>
      </c>
      <c r="F7" s="9" t="n">
        <v>46323</v>
      </c>
      <c r="G7" s="10" t="n">
        <f aca="true">IF(H7="Done","",F7-TODAY())</f>
        <v>12</v>
      </c>
      <c r="H7" s="8" t="s">
        <v>52</v>
      </c>
      <c r="I7" s="7" t="s">
        <v>56</v>
      </c>
      <c r="J7" s="7" t="s">
        <v>57</v>
      </c>
      <c r="K7" s="7" t="s">
        <v>47</v>
      </c>
    </row>
    <row r="8" customFormat="false" ht="26.85" hidden="false" customHeight="false" outlineLevel="0" collapsed="false">
      <c r="A8" s="7" t="s">
        <v>58</v>
      </c>
      <c r="B8" s="7" t="s">
        <v>59</v>
      </c>
      <c r="C8" s="7" t="s">
        <v>50</v>
      </c>
      <c r="D8" s="8" t="s">
        <v>28</v>
      </c>
      <c r="E8" s="7" t="s">
        <v>51</v>
      </c>
      <c r="F8" s="9" t="n">
        <v>46325</v>
      </c>
      <c r="G8" s="10" t="n">
        <f aca="true">IF(H8="Done","",F8-TODAY())</f>
        <v>14</v>
      </c>
      <c r="H8" s="8" t="s">
        <v>60</v>
      </c>
      <c r="I8" s="7" t="s">
        <v>61</v>
      </c>
      <c r="J8" s="7" t="s">
        <v>62</v>
      </c>
      <c r="K8" s="7" t="s">
        <v>42</v>
      </c>
    </row>
    <row r="9" customFormat="false" ht="26.85" hidden="false" customHeight="false" outlineLevel="0" collapsed="false">
      <c r="A9" s="7" t="s">
        <v>63</v>
      </c>
      <c r="B9" s="7" t="s">
        <v>64</v>
      </c>
      <c r="C9" s="7" t="s">
        <v>50</v>
      </c>
      <c r="D9" s="8" t="s">
        <v>28</v>
      </c>
      <c r="E9" s="7" t="s">
        <v>51</v>
      </c>
      <c r="F9" s="9" t="n">
        <v>46328</v>
      </c>
      <c r="G9" s="10" t="n">
        <f aca="true">IF(H9="Done","",F9-TODAY())</f>
        <v>17</v>
      </c>
      <c r="H9" s="8" t="s">
        <v>52</v>
      </c>
      <c r="I9" s="7" t="s">
        <v>40</v>
      </c>
      <c r="J9" s="7" t="s">
        <v>65</v>
      </c>
      <c r="K9" s="7" t="s">
        <v>42</v>
      </c>
    </row>
    <row r="10" customFormat="false" ht="15" hidden="false" customHeight="false" outlineLevel="0" collapsed="false">
      <c r="A10" s="7" t="s">
        <v>66</v>
      </c>
      <c r="B10" s="7" t="s">
        <v>67</v>
      </c>
      <c r="C10" s="7" t="s">
        <v>50</v>
      </c>
      <c r="D10" s="8" t="s">
        <v>28</v>
      </c>
      <c r="E10" s="7" t="s">
        <v>51</v>
      </c>
      <c r="F10" s="9" t="n">
        <v>46332</v>
      </c>
      <c r="G10" s="10" t="n">
        <f aca="true">IF(H10="Done","",F10-TODAY())</f>
        <v>21</v>
      </c>
      <c r="H10" s="8" t="s">
        <v>52</v>
      </c>
      <c r="I10" s="7" t="s">
        <v>68</v>
      </c>
      <c r="J10" s="7" t="s">
        <v>69</v>
      </c>
      <c r="K10" s="7" t="s">
        <v>70</v>
      </c>
    </row>
    <row r="11" customFormat="false" ht="15" hidden="false" customHeight="false" outlineLevel="0" collapsed="false">
      <c r="A11" s="7" t="s">
        <v>71</v>
      </c>
      <c r="B11" s="7" t="s">
        <v>72</v>
      </c>
      <c r="C11" s="7" t="s">
        <v>50</v>
      </c>
      <c r="D11" s="8" t="s">
        <v>28</v>
      </c>
      <c r="E11" s="7" t="s">
        <v>51</v>
      </c>
      <c r="F11" s="9" t="n">
        <v>46332</v>
      </c>
      <c r="G11" s="10" t="n">
        <f aca="true">IF(H11="Done","",F11-TODAY())</f>
        <v>21</v>
      </c>
      <c r="H11" s="8" t="s">
        <v>52</v>
      </c>
      <c r="I11" s="7" t="s">
        <v>68</v>
      </c>
      <c r="J11" s="7" t="s">
        <v>73</v>
      </c>
      <c r="K11" s="7" t="s">
        <v>70</v>
      </c>
    </row>
    <row r="12" customFormat="false" ht="15" hidden="false" customHeight="false" outlineLevel="0" collapsed="false">
      <c r="A12" s="7" t="s">
        <v>74</v>
      </c>
      <c r="B12" s="7" t="s">
        <v>75</v>
      </c>
      <c r="C12" s="7" t="s">
        <v>50</v>
      </c>
      <c r="D12" s="8" t="s">
        <v>28</v>
      </c>
      <c r="E12" s="7" t="s">
        <v>51</v>
      </c>
      <c r="F12" s="9" t="n">
        <v>46339</v>
      </c>
      <c r="G12" s="10" t="n">
        <f aca="true">IF(H12="Done","",F12-TODAY())</f>
        <v>28</v>
      </c>
      <c r="H12" s="8" t="s">
        <v>52</v>
      </c>
      <c r="I12" s="7" t="s">
        <v>76</v>
      </c>
      <c r="J12" s="7" t="s">
        <v>77</v>
      </c>
      <c r="K12" s="7" t="s">
        <v>70</v>
      </c>
    </row>
    <row r="13" customFormat="false" ht="15" hidden="false" customHeight="false" outlineLevel="0" collapsed="false">
      <c r="A13" s="7" t="s">
        <v>78</v>
      </c>
      <c r="B13" s="7" t="s">
        <v>79</v>
      </c>
      <c r="C13" s="7" t="s">
        <v>50</v>
      </c>
      <c r="D13" s="8" t="s">
        <v>28</v>
      </c>
      <c r="E13" s="7" t="s">
        <v>51</v>
      </c>
      <c r="F13" s="9" t="n">
        <v>46370</v>
      </c>
      <c r="G13" s="10" t="n">
        <f aca="true">IF(H13="Done","",F13-TODAY())</f>
        <v>59</v>
      </c>
      <c r="H13" s="8" t="s">
        <v>52</v>
      </c>
      <c r="I13" s="7" t="s">
        <v>76</v>
      </c>
      <c r="J13" s="7" t="s">
        <v>77</v>
      </c>
      <c r="K13" s="7" t="s">
        <v>70</v>
      </c>
    </row>
    <row r="14" customFormat="false" ht="26.85" hidden="false" customHeight="false" outlineLevel="0" collapsed="false">
      <c r="A14" s="7" t="s">
        <v>80</v>
      </c>
      <c r="B14" s="7" t="s">
        <v>81</v>
      </c>
      <c r="C14" s="7" t="s">
        <v>50</v>
      </c>
      <c r="D14" s="8" t="s">
        <v>28</v>
      </c>
      <c r="E14" s="7" t="s">
        <v>18</v>
      </c>
      <c r="F14" s="9" t="n">
        <v>46387</v>
      </c>
      <c r="G14" s="10" t="n">
        <f aca="true">IF(H14="Done","",F14-TODAY())</f>
        <v>76</v>
      </c>
      <c r="H14" s="8" t="s">
        <v>52</v>
      </c>
      <c r="I14" s="7" t="s">
        <v>40</v>
      </c>
      <c r="J14" s="7" t="s">
        <v>82</v>
      </c>
      <c r="K14" s="7" t="s">
        <v>83</v>
      </c>
    </row>
    <row r="15" customFormat="false" ht="15" hidden="false" customHeight="false" outlineLevel="0" collapsed="false">
      <c r="A15" s="7" t="s">
        <v>84</v>
      </c>
      <c r="B15" s="7" t="s">
        <v>85</v>
      </c>
      <c r="C15" s="7" t="s">
        <v>50</v>
      </c>
      <c r="D15" s="8" t="s">
        <v>28</v>
      </c>
      <c r="E15" s="7" t="s">
        <v>51</v>
      </c>
      <c r="F15" s="9" t="n">
        <v>46402</v>
      </c>
      <c r="G15" s="10" t="n">
        <f aca="true">IF(H15="Done","",F15-TODAY())</f>
        <v>91</v>
      </c>
      <c r="H15" s="8" t="s">
        <v>52</v>
      </c>
      <c r="I15" s="7" t="s">
        <v>86</v>
      </c>
      <c r="J15" s="7" t="s">
        <v>87</v>
      </c>
      <c r="K15" s="7" t="s">
        <v>70</v>
      </c>
    </row>
    <row r="16" customFormat="false" ht="15" hidden="false" customHeight="false" outlineLevel="0" collapsed="false">
      <c r="A16" s="7" t="s">
        <v>88</v>
      </c>
      <c r="B16" s="7" t="s">
        <v>89</v>
      </c>
      <c r="C16" s="7" t="s">
        <v>50</v>
      </c>
      <c r="D16" s="8" t="s">
        <v>28</v>
      </c>
      <c r="E16" s="7" t="s">
        <v>51</v>
      </c>
      <c r="F16" s="9" t="n">
        <v>46402</v>
      </c>
      <c r="G16" s="10" t="n">
        <f aca="true">IF(H16="Done","",F16-TODAY())</f>
        <v>91</v>
      </c>
      <c r="H16" s="8" t="s">
        <v>52</v>
      </c>
      <c r="I16" s="7" t="s">
        <v>68</v>
      </c>
      <c r="J16" s="7" t="s">
        <v>90</v>
      </c>
      <c r="K16" s="7" t="s">
        <v>70</v>
      </c>
    </row>
    <row r="17" customFormat="false" ht="15" hidden="false" customHeight="false" outlineLevel="0" collapsed="false">
      <c r="A17" s="7" t="s">
        <v>91</v>
      </c>
      <c r="B17" s="7" t="s">
        <v>92</v>
      </c>
      <c r="C17" s="7" t="s">
        <v>50</v>
      </c>
      <c r="D17" s="8" t="s">
        <v>28</v>
      </c>
      <c r="E17" s="7" t="s">
        <v>51</v>
      </c>
      <c r="F17" s="9" t="n">
        <v>46409</v>
      </c>
      <c r="G17" s="10" t="n">
        <f aca="true">IF(H17="Done","",F17-TODAY())</f>
        <v>98</v>
      </c>
      <c r="H17" s="8" t="s">
        <v>52</v>
      </c>
      <c r="I17" s="7" t="s">
        <v>86</v>
      </c>
      <c r="J17" s="7" t="s">
        <v>93</v>
      </c>
      <c r="K17" s="7" t="s">
        <v>94</v>
      </c>
    </row>
    <row r="18" customFormat="false" ht="15" hidden="false" customHeight="false" outlineLevel="0" collapsed="false">
      <c r="A18" s="7" t="s">
        <v>95</v>
      </c>
      <c r="B18" s="7" t="s">
        <v>96</v>
      </c>
      <c r="C18" s="7" t="s">
        <v>35</v>
      </c>
      <c r="D18" s="8" t="s">
        <v>97</v>
      </c>
      <c r="E18" s="7" t="s">
        <v>18</v>
      </c>
      <c r="F18" s="9" t="n">
        <v>46317</v>
      </c>
      <c r="G18" s="10" t="n">
        <f aca="true">IF(H18="Done","",F18-TODAY())</f>
        <v>6</v>
      </c>
      <c r="H18" s="8" t="s">
        <v>36</v>
      </c>
      <c r="I18" s="7" t="s">
        <v>98</v>
      </c>
      <c r="J18" s="7" t="s">
        <v>99</v>
      </c>
      <c r="K18" s="7" t="s">
        <v>100</v>
      </c>
    </row>
    <row r="19" customFormat="false" ht="26.85" hidden="false" customHeight="false" outlineLevel="0" collapsed="false">
      <c r="A19" s="7" t="s">
        <v>101</v>
      </c>
      <c r="B19" s="7" t="s">
        <v>102</v>
      </c>
      <c r="C19" s="7" t="s">
        <v>35</v>
      </c>
      <c r="D19" s="8" t="s">
        <v>97</v>
      </c>
      <c r="E19" s="7" t="s">
        <v>18</v>
      </c>
      <c r="F19" s="9" t="n">
        <v>46317</v>
      </c>
      <c r="G19" s="10" t="n">
        <f aca="true">IF(H19="Done","",F19-TODAY())</f>
        <v>6</v>
      </c>
      <c r="H19" s="8" t="s">
        <v>36</v>
      </c>
      <c r="I19" s="7" t="s">
        <v>40</v>
      </c>
      <c r="J19" s="7" t="s">
        <v>103</v>
      </c>
      <c r="K19" s="7" t="s">
        <v>104</v>
      </c>
    </row>
    <row r="20" customFormat="false" ht="15" hidden="false" customHeight="false" outlineLevel="0" collapsed="false">
      <c r="A20" s="7" t="s">
        <v>105</v>
      </c>
      <c r="B20" s="7" t="s">
        <v>106</v>
      </c>
      <c r="C20" s="7" t="s">
        <v>27</v>
      </c>
      <c r="D20" s="8" t="s">
        <v>97</v>
      </c>
      <c r="E20" s="7" t="s">
        <v>51</v>
      </c>
      <c r="F20" s="9" t="n">
        <v>46318</v>
      </c>
      <c r="G20" s="10" t="n">
        <f aca="true">IF(H20="Done","",F20-TODAY())</f>
        <v>7</v>
      </c>
      <c r="H20" s="8" t="s">
        <v>52</v>
      </c>
      <c r="I20" s="7" t="s">
        <v>98</v>
      </c>
      <c r="J20" s="7" t="s">
        <v>107</v>
      </c>
      <c r="K20" s="7" t="s">
        <v>100</v>
      </c>
    </row>
    <row r="21" customFormat="false" ht="15" hidden="false" customHeight="false" outlineLevel="0" collapsed="false">
      <c r="A21" s="7" t="s">
        <v>108</v>
      </c>
      <c r="B21" s="7" t="s">
        <v>109</v>
      </c>
      <c r="C21" s="7" t="s">
        <v>27</v>
      </c>
      <c r="D21" s="8" t="s">
        <v>97</v>
      </c>
      <c r="E21" s="7" t="s">
        <v>18</v>
      </c>
      <c r="F21" s="9" t="n">
        <v>46318</v>
      </c>
      <c r="G21" s="10" t="n">
        <f aca="true">IF(H21="Done","",F21-TODAY())</f>
        <v>7</v>
      </c>
      <c r="H21" s="8" t="s">
        <v>29</v>
      </c>
      <c r="I21" s="7" t="s">
        <v>110</v>
      </c>
      <c r="J21" s="7" t="s">
        <v>111</v>
      </c>
      <c r="K21" s="7" t="s">
        <v>94</v>
      </c>
    </row>
    <row r="22" customFormat="false" ht="26.85" hidden="false" customHeight="false" outlineLevel="0" collapsed="false">
      <c r="A22" s="7" t="s">
        <v>112</v>
      </c>
      <c r="B22" s="7" t="s">
        <v>113</v>
      </c>
      <c r="C22" s="7" t="s">
        <v>50</v>
      </c>
      <c r="D22" s="8" t="s">
        <v>97</v>
      </c>
      <c r="E22" s="7" t="s">
        <v>51</v>
      </c>
      <c r="F22" s="9" t="n">
        <v>46322</v>
      </c>
      <c r="G22" s="10" t="n">
        <f aca="true">IF(H22="Done","",F22-TODAY())</f>
        <v>11</v>
      </c>
      <c r="H22" s="8" t="s">
        <v>52</v>
      </c>
      <c r="I22" s="7" t="s">
        <v>56</v>
      </c>
      <c r="J22" s="7" t="s">
        <v>114</v>
      </c>
      <c r="K22" s="7" t="s">
        <v>47</v>
      </c>
    </row>
    <row r="23" customFormat="false" ht="15" hidden="false" customHeight="false" outlineLevel="0" collapsed="false">
      <c r="A23" s="7" t="s">
        <v>115</v>
      </c>
      <c r="B23" s="7" t="s">
        <v>116</v>
      </c>
      <c r="C23" s="7" t="s">
        <v>27</v>
      </c>
      <c r="D23" s="8" t="s">
        <v>97</v>
      </c>
      <c r="E23" s="7" t="s">
        <v>117</v>
      </c>
      <c r="F23" s="9" t="n">
        <v>46325</v>
      </c>
      <c r="G23" s="10" t="n">
        <f aca="true">IF(H23="Done","",F23-TODAY())</f>
        <v>14</v>
      </c>
      <c r="H23" s="8" t="s">
        <v>29</v>
      </c>
      <c r="I23" s="7" t="s">
        <v>118</v>
      </c>
      <c r="J23" s="7" t="s">
        <v>119</v>
      </c>
      <c r="K23" s="7" t="s">
        <v>70</v>
      </c>
    </row>
    <row r="24" customFormat="false" ht="15" hidden="false" customHeight="false" outlineLevel="0" collapsed="false">
      <c r="A24" s="7" t="s">
        <v>120</v>
      </c>
      <c r="B24" s="7" t="s">
        <v>121</v>
      </c>
      <c r="C24" s="7" t="s">
        <v>50</v>
      </c>
      <c r="D24" s="8" t="s">
        <v>97</v>
      </c>
      <c r="E24" s="7" t="s">
        <v>51</v>
      </c>
      <c r="F24" s="9" t="n">
        <v>46330</v>
      </c>
      <c r="G24" s="10" t="n">
        <f aca="true">IF(H24="Done","",F24-TODAY())</f>
        <v>19</v>
      </c>
      <c r="H24" s="8" t="s">
        <v>52</v>
      </c>
      <c r="I24" s="7" t="s">
        <v>40</v>
      </c>
      <c r="J24" s="7" t="s">
        <v>122</v>
      </c>
      <c r="K24" s="7" t="s">
        <v>104</v>
      </c>
    </row>
    <row r="25" customFormat="false" ht="26.85" hidden="false" customHeight="false" outlineLevel="0" collapsed="false">
      <c r="A25" s="7" t="s">
        <v>123</v>
      </c>
      <c r="B25" s="7" t="s">
        <v>124</v>
      </c>
      <c r="C25" s="7" t="s">
        <v>50</v>
      </c>
      <c r="D25" s="8" t="s">
        <v>97</v>
      </c>
      <c r="E25" s="7" t="s">
        <v>51</v>
      </c>
      <c r="F25" s="9" t="n">
        <v>46332</v>
      </c>
      <c r="G25" s="10" t="n">
        <f aca="true">IF(H25="Done","",F25-TODAY())</f>
        <v>21</v>
      </c>
      <c r="H25" s="8" t="s">
        <v>52</v>
      </c>
      <c r="I25" s="7" t="s">
        <v>125</v>
      </c>
      <c r="J25" s="7" t="s">
        <v>126</v>
      </c>
      <c r="K25" s="7" t="s">
        <v>70</v>
      </c>
    </row>
    <row r="26" customFormat="false" ht="26.85" hidden="false" customHeight="false" outlineLevel="0" collapsed="false">
      <c r="A26" s="7" t="s">
        <v>127</v>
      </c>
      <c r="B26" s="7" t="s">
        <v>128</v>
      </c>
      <c r="C26" s="7" t="s">
        <v>50</v>
      </c>
      <c r="D26" s="8" t="s">
        <v>97</v>
      </c>
      <c r="E26" s="7" t="s">
        <v>18</v>
      </c>
      <c r="F26" s="9" t="n">
        <v>46367</v>
      </c>
      <c r="G26" s="10" t="n">
        <f aca="true">IF(H26="Done","",F26-TODAY())</f>
        <v>56</v>
      </c>
      <c r="H26" s="8" t="s">
        <v>52</v>
      </c>
      <c r="I26" s="7" t="s">
        <v>40</v>
      </c>
      <c r="J26" s="7" t="s">
        <v>129</v>
      </c>
      <c r="K26" s="7" t="s">
        <v>83</v>
      </c>
    </row>
    <row r="27" customFormat="false" ht="15" hidden="false" customHeight="false" outlineLevel="0" collapsed="false">
      <c r="A27" s="7" t="s">
        <v>130</v>
      </c>
      <c r="B27" s="7" t="s">
        <v>131</v>
      </c>
      <c r="C27" s="7" t="s">
        <v>50</v>
      </c>
      <c r="D27" s="8" t="s">
        <v>97</v>
      </c>
      <c r="E27" s="7" t="s">
        <v>51</v>
      </c>
      <c r="F27" s="9" t="n">
        <v>46416</v>
      </c>
      <c r="G27" s="10" t="n">
        <f aca="true">IF(H27="Done","",F27-TODAY())</f>
        <v>105</v>
      </c>
      <c r="H27" s="8" t="s">
        <v>52</v>
      </c>
      <c r="I27" s="7" t="s">
        <v>68</v>
      </c>
      <c r="J27" s="7" t="s">
        <v>132</v>
      </c>
      <c r="K27" s="7" t="s">
        <v>70</v>
      </c>
    </row>
    <row r="28" customFormat="false" ht="15" hidden="false" customHeight="false" outlineLevel="0" collapsed="false">
      <c r="A28" s="7" t="s">
        <v>133</v>
      </c>
      <c r="B28" s="7" t="s">
        <v>134</v>
      </c>
      <c r="C28" s="7" t="s">
        <v>35</v>
      </c>
      <c r="D28" s="8" t="s">
        <v>135</v>
      </c>
      <c r="E28" s="7" t="s">
        <v>18</v>
      </c>
      <c r="F28" s="9" t="n">
        <v>46325</v>
      </c>
      <c r="G28" s="10" t="n">
        <f aca="true">IF(H28="Done","",F28-TODAY())</f>
        <v>14</v>
      </c>
      <c r="H28" s="8" t="s">
        <v>36</v>
      </c>
      <c r="I28" s="7" t="s">
        <v>68</v>
      </c>
      <c r="J28" s="7" t="s">
        <v>136</v>
      </c>
      <c r="K28" s="7" t="s">
        <v>70</v>
      </c>
    </row>
    <row r="29" customFormat="false" ht="15" hidden="false" customHeight="false" outlineLevel="0" collapsed="false">
      <c r="A29" s="7" t="s">
        <v>137</v>
      </c>
      <c r="B29" s="7" t="s">
        <v>138</v>
      </c>
      <c r="C29" s="7" t="s">
        <v>27</v>
      </c>
      <c r="D29" s="8" t="s">
        <v>135</v>
      </c>
      <c r="E29" s="7" t="s">
        <v>51</v>
      </c>
      <c r="F29" s="9" t="n">
        <v>46336</v>
      </c>
      <c r="G29" s="10" t="n">
        <f aca="true">IF(H29="Done","",F29-TODAY())</f>
        <v>25</v>
      </c>
      <c r="H29" s="8" t="s">
        <v>52</v>
      </c>
      <c r="I29" s="7" t="s">
        <v>110</v>
      </c>
      <c r="J29" s="7" t="s">
        <v>139</v>
      </c>
      <c r="K29" s="7" t="s">
        <v>94</v>
      </c>
    </row>
    <row r="30" customFormat="false" ht="15" hidden="false" customHeight="false" outlineLevel="0" collapsed="false">
      <c r="A30" s="7" t="s">
        <v>140</v>
      </c>
      <c r="B30" s="7" t="s">
        <v>141</v>
      </c>
      <c r="C30" s="7" t="s">
        <v>50</v>
      </c>
      <c r="D30" s="8" t="s">
        <v>135</v>
      </c>
      <c r="E30" s="7" t="s">
        <v>18</v>
      </c>
      <c r="F30" s="9" t="n">
        <v>46339</v>
      </c>
      <c r="G30" s="10" t="n">
        <f aca="true">IF(H30="Done","",F30-TODAY())</f>
        <v>28</v>
      </c>
      <c r="H30" s="8" t="s">
        <v>52</v>
      </c>
      <c r="I30" s="7" t="s">
        <v>142</v>
      </c>
      <c r="J30" s="7" t="s">
        <v>143</v>
      </c>
      <c r="K30" s="7" t="s">
        <v>70</v>
      </c>
    </row>
    <row r="31" customFormat="false" ht="15" hidden="false" customHeight="false" outlineLevel="0" collapsed="false">
      <c r="A31" s="7" t="s">
        <v>144</v>
      </c>
      <c r="B31" s="7" t="s">
        <v>145</v>
      </c>
      <c r="C31" s="7" t="s">
        <v>50</v>
      </c>
      <c r="D31" s="8" t="s">
        <v>135</v>
      </c>
      <c r="E31" s="7" t="s">
        <v>51</v>
      </c>
      <c r="F31" s="9" t="n">
        <v>46339</v>
      </c>
      <c r="G31" s="10" t="n">
        <f aca="true">IF(H31="Done","",F31-TODAY())</f>
        <v>28</v>
      </c>
      <c r="H31" s="8" t="s">
        <v>52</v>
      </c>
      <c r="I31" s="7" t="s">
        <v>68</v>
      </c>
      <c r="J31" s="7" t="s">
        <v>146</v>
      </c>
      <c r="K31" s="7" t="s">
        <v>42</v>
      </c>
    </row>
  </sheetData>
  <autoFilter ref="A1:K31"/>
  <conditionalFormatting sqref="D2:D200">
    <cfRule type="cellIs" priority="2" operator="equal" aboveAverage="0" equalAverage="0" bottom="0" percent="0" rank="0" text="" dxfId="7">
      <formula>"P1"</formula>
    </cfRule>
    <cfRule type="cellIs" priority="3" operator="equal" aboveAverage="0" equalAverage="0" bottom="0" percent="0" rank="0" text="" dxfId="8">
      <formula>"P2"</formula>
    </cfRule>
    <cfRule type="cellIs" priority="4" operator="equal" aboveAverage="0" equalAverage="0" bottom="0" percent="0" rank="0" text="" dxfId="9">
      <formula>"P3"</formula>
    </cfRule>
  </conditionalFormatting>
  <conditionalFormatting sqref="G2:G200">
    <cfRule type="expression" priority="5" aboveAverage="0" equalAverage="0" bottom="0" percent="0" rank="0" text="" dxfId="7">
      <formula>AND(ISNUMBER(G2),G2&lt;0)</formula>
    </cfRule>
  </conditionalFormatting>
  <conditionalFormatting sqref="A2:K200">
    <cfRule type="expression" priority="6" aboveAverage="0" equalAverage="0" bottom="0" percent="0" rank="0" text="" dxfId="10">
      <formula>$H2="Done"</formula>
    </cfRule>
  </conditionalFormatting>
  <dataValidations count="2">
    <dataValidation allowBlank="true" errorStyle="stop" operator="between" showDropDown="false" showErrorMessage="false" showInputMessage="false" sqref="H2:H200" type="list">
      <formula1>"Not started,In progress,Waiting,Open,Done"</formula1>
      <formula2>0</formula2>
    </dataValidation>
    <dataValidation allowBlank="false" errorStyle="stop" operator="between" showDropDown="false" showErrorMessage="false" showInputMessage="false" sqref="D2:D200" type="list">
      <formula1>"P1,P2,P3"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7"/>
    <col collapsed="false" customWidth="true" hidden="false" outlineLevel="0" max="5" min="5" style="0" width="62"/>
    <col collapsed="false" customWidth="true" hidden="false" outlineLevel="0" max="6" min="6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A1" s="4" t="s">
        <v>24</v>
      </c>
      <c r="B1" s="4" t="s">
        <v>147</v>
      </c>
      <c r="C1" s="4" t="s">
        <v>148</v>
      </c>
      <c r="D1" s="4" t="s">
        <v>149</v>
      </c>
      <c r="E1" s="4" t="s">
        <v>150</v>
      </c>
      <c r="F1" s="4" t="s">
        <v>18</v>
      </c>
      <c r="G1" s="4" t="s">
        <v>151</v>
      </c>
    </row>
    <row r="2" customFormat="false" ht="15" hidden="false" customHeight="false" outlineLevel="0" collapsed="false">
      <c r="A2" s="7" t="s">
        <v>70</v>
      </c>
      <c r="B2" s="7" t="s">
        <v>152</v>
      </c>
      <c r="C2" s="7" t="s">
        <v>153</v>
      </c>
      <c r="D2" s="7" t="n">
        <v>1</v>
      </c>
      <c r="E2" s="7" t="s">
        <v>154</v>
      </c>
      <c r="F2" s="7" t="s">
        <v>51</v>
      </c>
      <c r="G2" s="7"/>
    </row>
    <row r="3" customFormat="false" ht="15" hidden="false" customHeight="false" outlineLevel="0" collapsed="false">
      <c r="A3" s="7" t="s">
        <v>70</v>
      </c>
      <c r="B3" s="7" t="s">
        <v>152</v>
      </c>
      <c r="C3" s="7" t="s">
        <v>153</v>
      </c>
      <c r="D3" s="7" t="n">
        <v>2</v>
      </c>
      <c r="E3" s="7" t="s">
        <v>155</v>
      </c>
      <c r="F3" s="7" t="s">
        <v>51</v>
      </c>
      <c r="G3" s="7"/>
    </row>
    <row r="4" customFormat="false" ht="15" hidden="false" customHeight="false" outlineLevel="0" collapsed="false">
      <c r="A4" s="7" t="s">
        <v>70</v>
      </c>
      <c r="B4" s="7" t="s">
        <v>152</v>
      </c>
      <c r="C4" s="7" t="s">
        <v>153</v>
      </c>
      <c r="D4" s="7" t="n">
        <v>3</v>
      </c>
      <c r="E4" s="7" t="s">
        <v>156</v>
      </c>
      <c r="F4" s="7" t="s">
        <v>51</v>
      </c>
      <c r="G4" s="7"/>
    </row>
    <row r="5" customFormat="false" ht="15" hidden="false" customHeight="false" outlineLevel="0" collapsed="false">
      <c r="A5" s="7" t="s">
        <v>70</v>
      </c>
      <c r="B5" s="7" t="s">
        <v>152</v>
      </c>
      <c r="C5" s="7" t="s">
        <v>153</v>
      </c>
      <c r="D5" s="7" t="n">
        <v>4</v>
      </c>
      <c r="E5" s="7" t="s">
        <v>157</v>
      </c>
      <c r="F5" s="7" t="s">
        <v>51</v>
      </c>
      <c r="G5" s="7"/>
    </row>
    <row r="6" customFormat="false" ht="15" hidden="false" customHeight="false" outlineLevel="0" collapsed="false">
      <c r="A6" s="7" t="s">
        <v>70</v>
      </c>
      <c r="B6" s="7" t="s">
        <v>152</v>
      </c>
      <c r="C6" s="7" t="s">
        <v>153</v>
      </c>
      <c r="D6" s="7" t="n">
        <v>5</v>
      </c>
      <c r="E6" s="7" t="s">
        <v>158</v>
      </c>
      <c r="F6" s="7" t="s">
        <v>51</v>
      </c>
      <c r="G6" s="7"/>
    </row>
    <row r="7" customFormat="false" ht="15" hidden="false" customHeight="false" outlineLevel="0" collapsed="false">
      <c r="A7" s="7" t="s">
        <v>70</v>
      </c>
      <c r="B7" s="7" t="s">
        <v>152</v>
      </c>
      <c r="C7" s="7" t="s">
        <v>153</v>
      </c>
      <c r="D7" s="7" t="n">
        <v>6</v>
      </c>
      <c r="E7" s="7" t="s">
        <v>159</v>
      </c>
      <c r="F7" s="7" t="s">
        <v>51</v>
      </c>
      <c r="G7" s="7"/>
    </row>
    <row r="8" customFormat="false" ht="15" hidden="false" customHeight="false" outlineLevel="0" collapsed="false">
      <c r="A8" s="7" t="s">
        <v>70</v>
      </c>
      <c r="B8" s="7" t="s">
        <v>152</v>
      </c>
      <c r="C8" s="7" t="s">
        <v>153</v>
      </c>
      <c r="D8" s="7" t="n">
        <v>7</v>
      </c>
      <c r="E8" s="7" t="s">
        <v>160</v>
      </c>
      <c r="F8" s="7" t="s">
        <v>51</v>
      </c>
      <c r="G8" s="7"/>
    </row>
    <row r="9" customFormat="false" ht="15" hidden="false" customHeight="false" outlineLevel="0" collapsed="false">
      <c r="A9" s="7" t="s">
        <v>70</v>
      </c>
      <c r="B9" s="7" t="s">
        <v>152</v>
      </c>
      <c r="C9" s="7" t="s">
        <v>153</v>
      </c>
      <c r="D9" s="7" t="n">
        <v>8</v>
      </c>
      <c r="E9" s="7" t="s">
        <v>161</v>
      </c>
      <c r="F9" s="7" t="s">
        <v>18</v>
      </c>
      <c r="G9" s="7"/>
    </row>
    <row r="10" customFormat="false" ht="15" hidden="false" customHeight="false" outlineLevel="0" collapsed="false">
      <c r="A10" s="7" t="s">
        <v>70</v>
      </c>
      <c r="B10" s="7" t="s">
        <v>152</v>
      </c>
      <c r="C10" s="7" t="s">
        <v>153</v>
      </c>
      <c r="D10" s="7" t="n">
        <v>9</v>
      </c>
      <c r="E10" s="7" t="s">
        <v>162</v>
      </c>
      <c r="F10" s="7" t="s">
        <v>51</v>
      </c>
      <c r="G10" s="7"/>
    </row>
    <row r="11" customFormat="false" ht="15" hidden="false" customHeight="false" outlineLevel="0" collapsed="false">
      <c r="A11" s="7" t="s">
        <v>70</v>
      </c>
      <c r="B11" s="7" t="s">
        <v>152</v>
      </c>
      <c r="C11" s="7" t="s">
        <v>153</v>
      </c>
      <c r="D11" s="7" t="n">
        <v>10</v>
      </c>
      <c r="E11" s="7" t="s">
        <v>163</v>
      </c>
      <c r="F11" s="7" t="s">
        <v>51</v>
      </c>
      <c r="G11" s="7"/>
    </row>
    <row r="12" customFormat="false" ht="26.85" hidden="false" customHeight="false" outlineLevel="0" collapsed="false">
      <c r="A12" s="7" t="s">
        <v>47</v>
      </c>
      <c r="B12" s="7" t="s">
        <v>164</v>
      </c>
      <c r="C12" s="7" t="s">
        <v>165</v>
      </c>
      <c r="D12" s="7" t="n">
        <v>1</v>
      </c>
      <c r="E12" s="7" t="s">
        <v>166</v>
      </c>
      <c r="F12" s="7" t="s">
        <v>51</v>
      </c>
      <c r="G12" s="7"/>
    </row>
    <row r="13" customFormat="false" ht="26.85" hidden="false" customHeight="false" outlineLevel="0" collapsed="false">
      <c r="A13" s="7" t="s">
        <v>47</v>
      </c>
      <c r="B13" s="7" t="s">
        <v>164</v>
      </c>
      <c r="C13" s="7" t="s">
        <v>165</v>
      </c>
      <c r="D13" s="7" t="n">
        <v>2</v>
      </c>
      <c r="E13" s="7" t="s">
        <v>167</v>
      </c>
      <c r="F13" s="7" t="s">
        <v>51</v>
      </c>
      <c r="G13" s="7"/>
    </row>
    <row r="14" customFormat="false" ht="26.85" hidden="false" customHeight="false" outlineLevel="0" collapsed="false">
      <c r="A14" s="7" t="s">
        <v>47</v>
      </c>
      <c r="B14" s="7" t="s">
        <v>164</v>
      </c>
      <c r="C14" s="7" t="s">
        <v>165</v>
      </c>
      <c r="D14" s="7" t="n">
        <v>3</v>
      </c>
      <c r="E14" s="7" t="s">
        <v>168</v>
      </c>
      <c r="F14" s="7" t="s">
        <v>51</v>
      </c>
      <c r="G14" s="7"/>
    </row>
    <row r="15" customFormat="false" ht="26.85" hidden="false" customHeight="false" outlineLevel="0" collapsed="false">
      <c r="A15" s="7" t="s">
        <v>47</v>
      </c>
      <c r="B15" s="7" t="s">
        <v>164</v>
      </c>
      <c r="C15" s="7" t="s">
        <v>165</v>
      </c>
      <c r="D15" s="7" t="n">
        <v>4</v>
      </c>
      <c r="E15" s="7" t="s">
        <v>169</v>
      </c>
      <c r="F15" s="7" t="s">
        <v>51</v>
      </c>
      <c r="G15" s="7"/>
    </row>
    <row r="16" customFormat="false" ht="26.85" hidden="false" customHeight="false" outlineLevel="0" collapsed="false">
      <c r="A16" s="7" t="s">
        <v>47</v>
      </c>
      <c r="B16" s="7" t="s">
        <v>164</v>
      </c>
      <c r="C16" s="7" t="s">
        <v>165</v>
      </c>
      <c r="D16" s="7" t="n">
        <v>5</v>
      </c>
      <c r="E16" s="7" t="s">
        <v>170</v>
      </c>
      <c r="F16" s="7" t="s">
        <v>51</v>
      </c>
      <c r="G16" s="7"/>
    </row>
    <row r="17" customFormat="false" ht="15" hidden="false" customHeight="false" outlineLevel="0" collapsed="false">
      <c r="A17" s="7" t="s">
        <v>100</v>
      </c>
      <c r="B17" s="7" t="s">
        <v>171</v>
      </c>
      <c r="C17" s="7" t="s">
        <v>172</v>
      </c>
      <c r="D17" s="7" t="n">
        <v>1</v>
      </c>
      <c r="E17" s="7" t="s">
        <v>173</v>
      </c>
      <c r="F17" s="7" t="s">
        <v>51</v>
      </c>
      <c r="G17" s="7"/>
    </row>
    <row r="18" customFormat="false" ht="15" hidden="false" customHeight="false" outlineLevel="0" collapsed="false">
      <c r="A18" s="7" t="s">
        <v>100</v>
      </c>
      <c r="B18" s="7" t="s">
        <v>171</v>
      </c>
      <c r="C18" s="7" t="s">
        <v>172</v>
      </c>
      <c r="D18" s="7" t="n">
        <v>2</v>
      </c>
      <c r="E18" s="7" t="s">
        <v>174</v>
      </c>
      <c r="F18" s="7" t="s">
        <v>51</v>
      </c>
      <c r="G18" s="7"/>
    </row>
    <row r="19" customFormat="false" ht="15" hidden="false" customHeight="false" outlineLevel="0" collapsed="false">
      <c r="A19" s="7" t="s">
        <v>100</v>
      </c>
      <c r="B19" s="7" t="s">
        <v>171</v>
      </c>
      <c r="C19" s="7" t="s">
        <v>172</v>
      </c>
      <c r="D19" s="7" t="n">
        <v>3</v>
      </c>
      <c r="E19" s="7" t="s">
        <v>175</v>
      </c>
      <c r="F19" s="7" t="s">
        <v>51</v>
      </c>
      <c r="G19" s="7"/>
    </row>
    <row r="20" customFormat="false" ht="15" hidden="false" customHeight="false" outlineLevel="0" collapsed="false">
      <c r="A20" s="7" t="s">
        <v>100</v>
      </c>
      <c r="B20" s="7" t="s">
        <v>171</v>
      </c>
      <c r="C20" s="7" t="s">
        <v>172</v>
      </c>
      <c r="D20" s="7" t="n">
        <v>4</v>
      </c>
      <c r="E20" s="7" t="s">
        <v>176</v>
      </c>
      <c r="F20" s="7" t="s">
        <v>18</v>
      </c>
      <c r="G20" s="7"/>
    </row>
    <row r="21" customFormat="false" ht="15" hidden="false" customHeight="false" outlineLevel="0" collapsed="false">
      <c r="A21" s="7" t="s">
        <v>100</v>
      </c>
      <c r="B21" s="7" t="s">
        <v>171</v>
      </c>
      <c r="C21" s="7" t="s">
        <v>172</v>
      </c>
      <c r="D21" s="7" t="n">
        <v>5</v>
      </c>
      <c r="E21" s="7" t="s">
        <v>177</v>
      </c>
      <c r="F21" s="7" t="s">
        <v>51</v>
      </c>
      <c r="G21" s="7"/>
    </row>
    <row r="22" customFormat="false" ht="15" hidden="false" customHeight="false" outlineLevel="0" collapsed="false">
      <c r="A22" s="7" t="s">
        <v>94</v>
      </c>
      <c r="B22" s="7" t="s">
        <v>178</v>
      </c>
      <c r="C22" s="7" t="s">
        <v>172</v>
      </c>
      <c r="D22" s="7" t="n">
        <v>1</v>
      </c>
      <c r="E22" s="7" t="s">
        <v>179</v>
      </c>
      <c r="F22" s="7" t="s">
        <v>51</v>
      </c>
      <c r="G22" s="7"/>
    </row>
    <row r="23" customFormat="false" ht="15" hidden="false" customHeight="false" outlineLevel="0" collapsed="false">
      <c r="A23" s="7" t="s">
        <v>94</v>
      </c>
      <c r="B23" s="7" t="s">
        <v>178</v>
      </c>
      <c r="C23" s="7" t="s">
        <v>172</v>
      </c>
      <c r="D23" s="7" t="n">
        <v>2</v>
      </c>
      <c r="E23" s="7" t="s">
        <v>180</v>
      </c>
      <c r="F23" s="7" t="s">
        <v>51</v>
      </c>
      <c r="G23" s="7"/>
    </row>
    <row r="24" customFormat="false" ht="15" hidden="false" customHeight="false" outlineLevel="0" collapsed="false">
      <c r="A24" s="7" t="s">
        <v>94</v>
      </c>
      <c r="B24" s="7" t="s">
        <v>178</v>
      </c>
      <c r="C24" s="7" t="s">
        <v>172</v>
      </c>
      <c r="D24" s="7" t="n">
        <v>3</v>
      </c>
      <c r="E24" s="7" t="s">
        <v>181</v>
      </c>
      <c r="F24" s="7" t="s">
        <v>51</v>
      </c>
      <c r="G24" s="7"/>
    </row>
    <row r="25" customFormat="false" ht="15" hidden="false" customHeight="false" outlineLevel="0" collapsed="false">
      <c r="A25" s="7" t="s">
        <v>94</v>
      </c>
      <c r="B25" s="7" t="s">
        <v>178</v>
      </c>
      <c r="C25" s="7" t="s">
        <v>172</v>
      </c>
      <c r="D25" s="7" t="n">
        <v>4</v>
      </c>
      <c r="E25" s="7" t="s">
        <v>182</v>
      </c>
      <c r="F25" s="7" t="s">
        <v>18</v>
      </c>
      <c r="G25" s="7"/>
    </row>
    <row r="26" customFormat="false" ht="15" hidden="false" customHeight="false" outlineLevel="0" collapsed="false">
      <c r="A26" s="7" t="s">
        <v>94</v>
      </c>
      <c r="B26" s="7" t="s">
        <v>178</v>
      </c>
      <c r="C26" s="7" t="s">
        <v>172</v>
      </c>
      <c r="D26" s="7" t="n">
        <v>5</v>
      </c>
      <c r="E26" s="7" t="s">
        <v>183</v>
      </c>
      <c r="F26" s="7" t="s">
        <v>51</v>
      </c>
      <c r="G26" s="7"/>
    </row>
    <row r="27" customFormat="false" ht="15" hidden="false" customHeight="false" outlineLevel="0" collapsed="false">
      <c r="A27" s="7" t="s">
        <v>104</v>
      </c>
      <c r="B27" s="7" t="s">
        <v>184</v>
      </c>
      <c r="C27" s="7" t="s">
        <v>185</v>
      </c>
      <c r="D27" s="7" t="n">
        <v>1</v>
      </c>
      <c r="E27" s="7" t="s">
        <v>186</v>
      </c>
      <c r="F27" s="7" t="s">
        <v>51</v>
      </c>
      <c r="G27" s="7"/>
    </row>
    <row r="28" customFormat="false" ht="15" hidden="false" customHeight="false" outlineLevel="0" collapsed="false">
      <c r="A28" s="7" t="s">
        <v>104</v>
      </c>
      <c r="B28" s="7" t="s">
        <v>184</v>
      </c>
      <c r="C28" s="7" t="s">
        <v>185</v>
      </c>
      <c r="D28" s="7" t="n">
        <v>2</v>
      </c>
      <c r="E28" s="7" t="s">
        <v>187</v>
      </c>
      <c r="F28" s="7" t="s">
        <v>51</v>
      </c>
      <c r="G28" s="7"/>
    </row>
    <row r="29" customFormat="false" ht="15" hidden="false" customHeight="false" outlineLevel="0" collapsed="false">
      <c r="A29" s="7" t="s">
        <v>104</v>
      </c>
      <c r="B29" s="7" t="s">
        <v>184</v>
      </c>
      <c r="C29" s="7" t="s">
        <v>185</v>
      </c>
      <c r="D29" s="7" t="n">
        <v>3</v>
      </c>
      <c r="E29" s="7" t="s">
        <v>188</v>
      </c>
      <c r="F29" s="7" t="s">
        <v>51</v>
      </c>
      <c r="G29" s="7"/>
    </row>
    <row r="30" customFormat="false" ht="15" hidden="false" customHeight="false" outlineLevel="0" collapsed="false">
      <c r="A30" s="7" t="s">
        <v>104</v>
      </c>
      <c r="B30" s="7" t="s">
        <v>184</v>
      </c>
      <c r="C30" s="7" t="s">
        <v>185</v>
      </c>
      <c r="D30" s="7" t="n">
        <v>4</v>
      </c>
      <c r="E30" s="7" t="s">
        <v>189</v>
      </c>
      <c r="F30" s="7" t="s">
        <v>18</v>
      </c>
      <c r="G30" s="7"/>
    </row>
    <row r="31" customFormat="false" ht="15" hidden="false" customHeight="false" outlineLevel="0" collapsed="false">
      <c r="A31" s="7" t="s">
        <v>104</v>
      </c>
      <c r="B31" s="7" t="s">
        <v>184</v>
      </c>
      <c r="C31" s="7" t="s">
        <v>185</v>
      </c>
      <c r="D31" s="7" t="n">
        <v>5</v>
      </c>
      <c r="E31" s="7" t="s">
        <v>190</v>
      </c>
      <c r="F31" s="7" t="s">
        <v>51</v>
      </c>
      <c r="G31" s="7"/>
    </row>
    <row r="32" customFormat="false" ht="26.85" hidden="false" customHeight="false" outlineLevel="0" collapsed="false">
      <c r="A32" s="7" t="s">
        <v>42</v>
      </c>
      <c r="B32" s="7" t="s">
        <v>191</v>
      </c>
      <c r="C32" s="7" t="s">
        <v>192</v>
      </c>
      <c r="D32" s="7" t="n">
        <v>1</v>
      </c>
      <c r="E32" s="7" t="s">
        <v>193</v>
      </c>
      <c r="F32" s="7" t="s">
        <v>51</v>
      </c>
      <c r="G32" s="7"/>
    </row>
    <row r="33" customFormat="false" ht="26.85" hidden="false" customHeight="false" outlineLevel="0" collapsed="false">
      <c r="A33" s="7" t="s">
        <v>42</v>
      </c>
      <c r="B33" s="7" t="s">
        <v>191</v>
      </c>
      <c r="C33" s="7" t="s">
        <v>192</v>
      </c>
      <c r="D33" s="7" t="n">
        <v>2</v>
      </c>
      <c r="E33" s="7" t="s">
        <v>194</v>
      </c>
      <c r="F33" s="7" t="s">
        <v>51</v>
      </c>
      <c r="G33" s="7"/>
    </row>
    <row r="34" customFormat="false" ht="26.85" hidden="false" customHeight="false" outlineLevel="0" collapsed="false">
      <c r="A34" s="7" t="s">
        <v>42</v>
      </c>
      <c r="B34" s="7" t="s">
        <v>191</v>
      </c>
      <c r="C34" s="7" t="s">
        <v>192</v>
      </c>
      <c r="D34" s="7" t="n">
        <v>3</v>
      </c>
      <c r="E34" s="7" t="s">
        <v>195</v>
      </c>
      <c r="F34" s="7" t="s">
        <v>51</v>
      </c>
      <c r="G34" s="7"/>
    </row>
    <row r="35" customFormat="false" ht="26.85" hidden="false" customHeight="false" outlineLevel="0" collapsed="false">
      <c r="A35" s="7" t="s">
        <v>42</v>
      </c>
      <c r="B35" s="7" t="s">
        <v>191</v>
      </c>
      <c r="C35" s="7" t="s">
        <v>192</v>
      </c>
      <c r="D35" s="7" t="n">
        <v>4</v>
      </c>
      <c r="E35" s="7" t="s">
        <v>196</v>
      </c>
      <c r="F35" s="7" t="s">
        <v>51</v>
      </c>
      <c r="G35" s="7"/>
    </row>
    <row r="36" customFormat="false" ht="26.85" hidden="false" customHeight="false" outlineLevel="0" collapsed="false">
      <c r="A36" s="7" t="s">
        <v>42</v>
      </c>
      <c r="B36" s="7" t="s">
        <v>191</v>
      </c>
      <c r="C36" s="7" t="s">
        <v>192</v>
      </c>
      <c r="D36" s="7" t="n">
        <v>5</v>
      </c>
      <c r="E36" s="7" t="s">
        <v>197</v>
      </c>
      <c r="F36" s="7" t="s">
        <v>18</v>
      </c>
      <c r="G36" s="7"/>
    </row>
    <row r="37" customFormat="false" ht="26.85" hidden="false" customHeight="false" outlineLevel="0" collapsed="false">
      <c r="A37" s="7" t="s">
        <v>83</v>
      </c>
      <c r="B37" s="7" t="s">
        <v>198</v>
      </c>
      <c r="C37" s="7" t="s">
        <v>199</v>
      </c>
      <c r="D37" s="7" t="n">
        <v>1</v>
      </c>
      <c r="E37" s="7" t="s">
        <v>200</v>
      </c>
      <c r="F37" s="7" t="s">
        <v>18</v>
      </c>
      <c r="G37" s="7"/>
    </row>
    <row r="38" customFormat="false" ht="26.85" hidden="false" customHeight="false" outlineLevel="0" collapsed="false">
      <c r="A38" s="7" t="s">
        <v>83</v>
      </c>
      <c r="B38" s="7" t="s">
        <v>198</v>
      </c>
      <c r="C38" s="7" t="s">
        <v>199</v>
      </c>
      <c r="D38" s="7" t="n">
        <v>2</v>
      </c>
      <c r="E38" s="7" t="s">
        <v>201</v>
      </c>
      <c r="F38" s="7" t="s">
        <v>18</v>
      </c>
      <c r="G38" s="7"/>
    </row>
    <row r="39" customFormat="false" ht="26.85" hidden="false" customHeight="false" outlineLevel="0" collapsed="false">
      <c r="A39" s="7" t="s">
        <v>83</v>
      </c>
      <c r="B39" s="7" t="s">
        <v>198</v>
      </c>
      <c r="C39" s="7" t="s">
        <v>199</v>
      </c>
      <c r="D39" s="7" t="n">
        <v>3</v>
      </c>
      <c r="E39" s="7" t="s">
        <v>202</v>
      </c>
      <c r="F39" s="7" t="s">
        <v>51</v>
      </c>
      <c r="G39" s="7"/>
    </row>
    <row r="40" customFormat="false" ht="26.85" hidden="false" customHeight="false" outlineLevel="0" collapsed="false">
      <c r="A40" s="7" t="s">
        <v>83</v>
      </c>
      <c r="B40" s="7" t="s">
        <v>198</v>
      </c>
      <c r="C40" s="7" t="s">
        <v>199</v>
      </c>
      <c r="D40" s="7" t="n">
        <v>4</v>
      </c>
      <c r="E40" s="7" t="s">
        <v>203</v>
      </c>
      <c r="F40" s="7" t="s">
        <v>51</v>
      </c>
      <c r="G40" s="7"/>
    </row>
    <row r="41" customFormat="false" ht="26.85" hidden="false" customHeight="false" outlineLevel="0" collapsed="false">
      <c r="A41" s="7" t="s">
        <v>83</v>
      </c>
      <c r="B41" s="7" t="s">
        <v>198</v>
      </c>
      <c r="C41" s="7" t="s">
        <v>199</v>
      </c>
      <c r="D41" s="7" t="n">
        <v>5</v>
      </c>
      <c r="E41" s="7" t="s">
        <v>204</v>
      </c>
      <c r="F41" s="7" t="s">
        <v>18</v>
      </c>
      <c r="G41" s="7"/>
    </row>
    <row r="42" customFormat="false" ht="15" hidden="false" customHeight="false" outlineLevel="0" collapsed="false">
      <c r="A42" s="7" t="s">
        <v>32</v>
      </c>
      <c r="B42" s="7" t="s">
        <v>205</v>
      </c>
      <c r="C42" s="7" t="s">
        <v>206</v>
      </c>
      <c r="D42" s="7" t="n">
        <v>1</v>
      </c>
      <c r="E42" s="7" t="s">
        <v>207</v>
      </c>
      <c r="F42" s="7" t="s">
        <v>51</v>
      </c>
      <c r="G42" s="7"/>
    </row>
    <row r="43" customFormat="false" ht="15" hidden="false" customHeight="false" outlineLevel="0" collapsed="false">
      <c r="A43" s="7" t="s">
        <v>32</v>
      </c>
      <c r="B43" s="7" t="s">
        <v>205</v>
      </c>
      <c r="C43" s="7" t="s">
        <v>206</v>
      </c>
      <c r="D43" s="7" t="n">
        <v>2</v>
      </c>
      <c r="E43" s="7" t="s">
        <v>208</v>
      </c>
      <c r="F43" s="7" t="s">
        <v>51</v>
      </c>
      <c r="G43" s="7"/>
    </row>
    <row r="44" customFormat="false" ht="15" hidden="false" customHeight="false" outlineLevel="0" collapsed="false">
      <c r="A44" s="7" t="s">
        <v>32</v>
      </c>
      <c r="B44" s="7" t="s">
        <v>205</v>
      </c>
      <c r="C44" s="7" t="s">
        <v>206</v>
      </c>
      <c r="D44" s="7" t="n">
        <v>3</v>
      </c>
      <c r="E44" s="7" t="s">
        <v>209</v>
      </c>
      <c r="F44" s="7" t="s">
        <v>51</v>
      </c>
      <c r="G44" s="7"/>
    </row>
    <row r="45" customFormat="false" ht="15" hidden="false" customHeight="false" outlineLevel="0" collapsed="false">
      <c r="A45" s="7" t="s">
        <v>32</v>
      </c>
      <c r="B45" s="7" t="s">
        <v>205</v>
      </c>
      <c r="C45" s="7" t="s">
        <v>206</v>
      </c>
      <c r="D45" s="7" t="n">
        <v>4</v>
      </c>
      <c r="E45" s="7" t="s">
        <v>210</v>
      </c>
      <c r="F45" s="7" t="s">
        <v>51</v>
      </c>
      <c r="G45" s="7"/>
    </row>
    <row r="46" customFormat="false" ht="15" hidden="false" customHeight="false" outlineLevel="0" collapsed="false">
      <c r="A46" s="7" t="s">
        <v>32</v>
      </c>
      <c r="B46" s="7" t="s">
        <v>205</v>
      </c>
      <c r="C46" s="7" t="s">
        <v>206</v>
      </c>
      <c r="D46" s="7" t="n">
        <v>5</v>
      </c>
      <c r="E46" s="7" t="s">
        <v>211</v>
      </c>
      <c r="F46" s="7" t="s">
        <v>18</v>
      </c>
      <c r="G46" s="7"/>
    </row>
  </sheetData>
  <autoFilter ref="A1:G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6" min="4" style="0" width="11"/>
  </cols>
  <sheetData>
    <row r="1" customFormat="false" ht="15" hidden="false" customHeight="false" outlineLevel="0" collapsed="false">
      <c r="A1" s="4" t="s">
        <v>212</v>
      </c>
      <c r="B1" s="4" t="s">
        <v>149</v>
      </c>
      <c r="C1" s="4" t="s">
        <v>18</v>
      </c>
      <c r="D1" s="4" t="s">
        <v>213</v>
      </c>
      <c r="E1" s="4" t="s">
        <v>214</v>
      </c>
      <c r="F1" s="4" t="s">
        <v>215</v>
      </c>
    </row>
    <row r="2" customFormat="false" ht="15" hidden="false" customHeight="false" outlineLevel="0" collapsed="false">
      <c r="A2" s="7" t="n">
        <v>1</v>
      </c>
      <c r="B2" s="7" t="s">
        <v>154</v>
      </c>
      <c r="C2" s="7" t="s">
        <v>51</v>
      </c>
      <c r="D2" s="11"/>
      <c r="E2" s="11"/>
      <c r="F2" s="11"/>
    </row>
    <row r="3" customFormat="false" ht="15" hidden="false" customHeight="false" outlineLevel="0" collapsed="false">
      <c r="A3" s="7" t="n">
        <v>2</v>
      </c>
      <c r="B3" s="7" t="s">
        <v>155</v>
      </c>
      <c r="C3" s="7" t="s">
        <v>51</v>
      </c>
      <c r="D3" s="11"/>
      <c r="E3" s="11"/>
      <c r="F3" s="11"/>
    </row>
    <row r="4" customFormat="false" ht="15" hidden="false" customHeight="false" outlineLevel="0" collapsed="false">
      <c r="A4" s="7" t="n">
        <v>3</v>
      </c>
      <c r="B4" s="7" t="s">
        <v>156</v>
      </c>
      <c r="C4" s="7" t="s">
        <v>51</v>
      </c>
      <c r="D4" s="11"/>
      <c r="E4" s="11"/>
      <c r="F4" s="11"/>
    </row>
    <row r="5" customFormat="false" ht="15" hidden="false" customHeight="false" outlineLevel="0" collapsed="false">
      <c r="A5" s="7" t="n">
        <v>4</v>
      </c>
      <c r="B5" s="7" t="s">
        <v>157</v>
      </c>
      <c r="C5" s="7" t="s">
        <v>51</v>
      </c>
      <c r="D5" s="11"/>
      <c r="E5" s="11"/>
      <c r="F5" s="11"/>
    </row>
    <row r="6" customFormat="false" ht="15" hidden="false" customHeight="false" outlineLevel="0" collapsed="false">
      <c r="A6" s="7" t="n">
        <v>5</v>
      </c>
      <c r="B6" s="7" t="s">
        <v>158</v>
      </c>
      <c r="C6" s="7" t="s">
        <v>51</v>
      </c>
      <c r="D6" s="11"/>
      <c r="E6" s="11"/>
      <c r="F6" s="11"/>
    </row>
    <row r="7" customFormat="false" ht="15" hidden="false" customHeight="false" outlineLevel="0" collapsed="false">
      <c r="A7" s="7" t="n">
        <v>6</v>
      </c>
      <c r="B7" s="7" t="s">
        <v>159</v>
      </c>
      <c r="C7" s="7" t="s">
        <v>51</v>
      </c>
      <c r="D7" s="11"/>
      <c r="E7" s="11"/>
      <c r="F7" s="11"/>
    </row>
    <row r="8" customFormat="false" ht="15" hidden="false" customHeight="false" outlineLevel="0" collapsed="false">
      <c r="A8" s="7" t="n">
        <v>7</v>
      </c>
      <c r="B8" s="7" t="s">
        <v>160</v>
      </c>
      <c r="C8" s="7" t="s">
        <v>51</v>
      </c>
      <c r="D8" s="11"/>
      <c r="E8" s="11"/>
      <c r="F8" s="11"/>
    </row>
    <row r="9" customFormat="false" ht="15" hidden="false" customHeight="false" outlineLevel="0" collapsed="false">
      <c r="A9" s="7" t="n">
        <v>8</v>
      </c>
      <c r="B9" s="7" t="s">
        <v>161</v>
      </c>
      <c r="C9" s="7" t="s">
        <v>18</v>
      </c>
      <c r="D9" s="11"/>
      <c r="E9" s="11"/>
      <c r="F9" s="11"/>
    </row>
    <row r="10" customFormat="false" ht="15" hidden="false" customHeight="false" outlineLevel="0" collapsed="false">
      <c r="A10" s="7" t="n">
        <v>9</v>
      </c>
      <c r="B10" s="7" t="s">
        <v>162</v>
      </c>
      <c r="C10" s="7" t="s">
        <v>51</v>
      </c>
      <c r="D10" s="11"/>
      <c r="E10" s="11"/>
      <c r="F10" s="11"/>
    </row>
    <row r="11" customFormat="false" ht="15" hidden="false" customHeight="false" outlineLevel="0" collapsed="false">
      <c r="A11" s="7" t="n">
        <v>10</v>
      </c>
      <c r="B11" s="7" t="s">
        <v>163</v>
      </c>
      <c r="C11" s="7" t="s">
        <v>51</v>
      </c>
      <c r="D11" s="11"/>
      <c r="E11" s="11"/>
      <c r="F11" s="11"/>
    </row>
    <row r="12" customFormat="false" ht="15" hidden="false" customHeight="false" outlineLevel="0" collapsed="false">
      <c r="A12" s="12"/>
      <c r="B12" s="12" t="s">
        <v>216</v>
      </c>
      <c r="C12" s="12"/>
      <c r="D12" s="12" t="str">
        <f aca="false">COUNTA(D2:D11)&amp;" of 10"</f>
        <v>0 of 10</v>
      </c>
      <c r="E12" s="12" t="str">
        <f aca="false">COUNTA(E2:E11)&amp;" of 10"</f>
        <v>0 of 10</v>
      </c>
      <c r="F12" s="12" t="str">
        <f aca="false">COUNTA(F2:F11)&amp;" of 10"</f>
        <v>0 of 10</v>
      </c>
    </row>
    <row r="15" customFormat="false" ht="15" hidden="false" customHeight="false" outlineLevel="0" collapsed="false">
      <c r="A15" s="2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6"/>
  </cols>
  <sheetData>
    <row r="1" customFormat="false" ht="15" hidden="false" customHeight="false" outlineLevel="0" collapsed="false">
      <c r="A1" s="4" t="s">
        <v>148</v>
      </c>
      <c r="B1" s="4" t="s">
        <v>218</v>
      </c>
    </row>
    <row r="2" customFormat="false" ht="15" hidden="false" customHeight="false" outlineLevel="0" collapsed="false">
      <c r="A2" s="5" t="s">
        <v>219</v>
      </c>
      <c r="B2" s="5" t="s">
        <v>220</v>
      </c>
    </row>
    <row r="3" customFormat="false" ht="15" hidden="false" customHeight="false" outlineLevel="0" collapsed="false">
      <c r="A3" s="5" t="s">
        <v>219</v>
      </c>
      <c r="B3" s="5" t="s">
        <v>221</v>
      </c>
    </row>
    <row r="4" customFormat="false" ht="15" hidden="false" customHeight="false" outlineLevel="0" collapsed="false">
      <c r="A4" s="5" t="s">
        <v>219</v>
      </c>
      <c r="B4" s="5" t="s">
        <v>222</v>
      </c>
    </row>
    <row r="5" customFormat="false" ht="15" hidden="false" customHeight="false" outlineLevel="0" collapsed="false">
      <c r="A5" s="5" t="s">
        <v>172</v>
      </c>
      <c r="B5" s="5" t="s">
        <v>223</v>
      </c>
    </row>
    <row r="6" customFormat="false" ht="15" hidden="false" customHeight="false" outlineLevel="0" collapsed="false">
      <c r="A6" s="5" t="s">
        <v>172</v>
      </c>
      <c r="B6" s="5" t="s">
        <v>224</v>
      </c>
    </row>
    <row r="7" customFormat="false" ht="15" hidden="false" customHeight="false" outlineLevel="0" collapsed="false">
      <c r="A7" s="5" t="s">
        <v>172</v>
      </c>
      <c r="B7" s="5" t="s">
        <v>225</v>
      </c>
    </row>
    <row r="8" customFormat="false" ht="15" hidden="false" customHeight="false" outlineLevel="0" collapsed="false">
      <c r="A8" s="5" t="s">
        <v>172</v>
      </c>
      <c r="B8" s="5" t="s">
        <v>226</v>
      </c>
    </row>
    <row r="9" customFormat="false" ht="15" hidden="false" customHeight="false" outlineLevel="0" collapsed="false">
      <c r="A9" s="5" t="s">
        <v>153</v>
      </c>
      <c r="B9" s="5" t="s">
        <v>227</v>
      </c>
    </row>
    <row r="10" customFormat="false" ht="15" hidden="false" customHeight="false" outlineLevel="0" collapsed="false">
      <c r="A10" s="5" t="s">
        <v>153</v>
      </c>
      <c r="B10" s="5" t="s">
        <v>228</v>
      </c>
    </row>
    <row r="11" customFormat="false" ht="15" hidden="false" customHeight="false" outlineLevel="0" collapsed="false">
      <c r="A11" s="5" t="s">
        <v>153</v>
      </c>
      <c r="B11" s="5" t="s">
        <v>229</v>
      </c>
    </row>
    <row r="12" customFormat="false" ht="15" hidden="false" customHeight="false" outlineLevel="0" collapsed="false">
      <c r="A12" s="5" t="s">
        <v>153</v>
      </c>
      <c r="B12" s="5" t="s">
        <v>230</v>
      </c>
    </row>
    <row r="13" customFormat="false" ht="15" hidden="false" customHeight="false" outlineLevel="0" collapsed="false">
      <c r="A13" s="5" t="s">
        <v>153</v>
      </c>
      <c r="B13" s="5" t="s">
        <v>231</v>
      </c>
    </row>
    <row r="14" customFormat="false" ht="15" hidden="false" customHeight="false" outlineLevel="0" collapsed="false">
      <c r="A14" s="5" t="s">
        <v>153</v>
      </c>
      <c r="B14" s="5" t="s">
        <v>232</v>
      </c>
    </row>
    <row r="15" customFormat="false" ht="15" hidden="false" customHeight="false" outlineLevel="0" collapsed="false">
      <c r="A15" s="5" t="s">
        <v>233</v>
      </c>
      <c r="B15" s="5" t="s">
        <v>234</v>
      </c>
    </row>
    <row r="16" customFormat="false" ht="15" hidden="false" customHeight="false" outlineLevel="0" collapsed="false">
      <c r="A16" s="5" t="s">
        <v>233</v>
      </c>
      <c r="B16" s="5" t="s">
        <v>235</v>
      </c>
    </row>
    <row r="17" customFormat="false" ht="15" hidden="false" customHeight="false" outlineLevel="0" collapsed="false">
      <c r="A17" s="5" t="s">
        <v>233</v>
      </c>
      <c r="B17" s="5" t="s">
        <v>236</v>
      </c>
    </row>
    <row r="18" customFormat="false" ht="15" hidden="false" customHeight="false" outlineLevel="0" collapsed="false">
      <c r="A18" s="5" t="s">
        <v>233</v>
      </c>
      <c r="B18" s="5" t="s">
        <v>237</v>
      </c>
    </row>
    <row r="19" customFormat="false" ht="15" hidden="false" customHeight="false" outlineLevel="0" collapsed="false">
      <c r="A19" s="5" t="s">
        <v>238</v>
      </c>
      <c r="B19" s="5" t="s">
        <v>239</v>
      </c>
    </row>
    <row r="20" customFormat="false" ht="15" hidden="false" customHeight="false" outlineLevel="0" collapsed="false">
      <c r="A20" s="5" t="s">
        <v>238</v>
      </c>
      <c r="B20" s="5" t="s">
        <v>240</v>
      </c>
    </row>
    <row r="21" customFormat="false" ht="15" hidden="false" customHeight="false" outlineLevel="0" collapsed="false">
      <c r="A21" s="5" t="s">
        <v>238</v>
      </c>
      <c r="B21" s="5" t="s">
        <v>241</v>
      </c>
    </row>
    <row r="22" customFormat="false" ht="15" hidden="false" customHeight="false" outlineLevel="0" collapsed="false">
      <c r="A22" s="5" t="s">
        <v>238</v>
      </c>
      <c r="B22" s="5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2026-10-16T18:05:01Z</dcterms:created>
  <dc:creator>openpyxl</dc:creator>
  <dc:description/>
  <dc:language>en-US</dc:language>
  <cp:lastModifiedBy/>
  <dcterms:modified xsi:type="dcterms:W3CDTF">2026-10-16T18:05:01Z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