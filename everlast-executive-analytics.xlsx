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w to use" sheetId="2" state="visible" r:id="rId4"/>
    <sheet name="P&amp;L Monthly" sheetId="3" state="visible" r:id="rId5"/>
    <sheet name="Channels" sheetId="4" state="visible" r:id="rId6"/>
    <sheet name="Prior Year 2025" sheetId="5" state="visible" r:id="rId7"/>
    <sheet name="Balance &amp; Cash" sheetId="6" state="visible" r:id="rId8"/>
    <sheet name="AR Aging" sheetId="7" state="visible" r:id="rId9"/>
    <sheet name="Inventory" sheetId="8" state="visible" r:id="rId10"/>
    <sheet name="Close KPIs" sheetId="9" state="visible" r:id="rId11"/>
  </sheets>
  <definedNames>
    <definedName function="false" hidden="false" name="ReportMonth" vbProcedure="false">Dashboard!$C$4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<sst xmlns="http://schemas.openxmlformats.org/spreadsheetml/2006/main" count="259" uniqueCount="196">
  <si>
    <t xml:space="preserve">EVERLAST WELDERS — EXECUTIVE BOOKKEEPING ANALYTICS</t>
  </si>
  <si>
    <t xml:space="preserve">SAMPLE DATA for review — replace the blue input cells on each tab with Everlast's QuickBooks actuals. All dashboard figures update automatically.</t>
  </si>
  <si>
    <t xml:space="preserve">Report month (1–12):</t>
  </si>
  <si>
    <t xml:space="preserve">NET REVENUE YTD</t>
  </si>
  <si>
    <t xml:space="preserve">GROSS MARGIN YTD</t>
  </si>
  <si>
    <t xml:space="preserve">OPERATING INCOME YTD</t>
  </si>
  <si>
    <t xml:space="preserve">CASH (MONTH-END)</t>
  </si>
  <si>
    <t xml:space="preserve">AR OVER 30 DAYS</t>
  </si>
  <si>
    <t xml:space="preserve">DAYS TO CLOSE</t>
  </si>
  <si>
    <t xml:space="preserve">QUARTERLY SUMMARY 2026</t>
  </si>
  <si>
    <t xml:space="preserve">PRODUCT LINE PERFORMANCE (YTD)</t>
  </si>
  <si>
    <t xml:space="preserve">Quarter</t>
  </si>
  <si>
    <t xml:space="preserve">Net revenue</t>
  </si>
  <si>
    <t xml:space="preserve">Gross profit</t>
  </si>
  <si>
    <t xml:space="preserve">Gross margin</t>
  </si>
  <si>
    <t xml:space="preserve">Opex</t>
  </si>
  <si>
    <t xml:space="preserve">Operating income</t>
  </si>
  <si>
    <t xml:space="preserve">Op. margin</t>
  </si>
  <si>
    <t xml:space="preserve">Product line</t>
  </si>
  <si>
    <t xml:space="preserve">Sales</t>
  </si>
  <si>
    <t xml:space="preserve">COGS</t>
  </si>
  <si>
    <t xml:space="preserve">Margin</t>
  </si>
  <si>
    <t xml:space="preserve">Share</t>
  </si>
  <si>
    <t xml:space="preserve">Q1 2026</t>
  </si>
  <si>
    <t xml:space="preserve">Q2 2026</t>
  </si>
  <si>
    <t xml:space="preserve">Q3 2026</t>
  </si>
  <si>
    <t xml:space="preserve">Q4 2026</t>
  </si>
  <si>
    <t xml:space="preserve">CHANNEL MIX (YTD)</t>
  </si>
  <si>
    <t xml:space="preserve">Channel</t>
  </si>
  <si>
    <t xml:space="preserve">WHAT TO WATCH</t>
  </si>
  <si>
    <t xml:space="preserve">Chart data (do not edit)</t>
  </si>
  <si>
    <t xml:space="preserve">Month</t>
  </si>
  <si>
    <t xml:space="preserve">Net revenue 2026</t>
  </si>
  <si>
    <t xml:space="preserve">Net revenue 2025</t>
  </si>
  <si>
    <t xml:space="preserve">Cash</t>
  </si>
  <si>
    <t xml:space="preserve">Accounts receivable</t>
  </si>
  <si>
    <t xml:space="preserve">Inventory</t>
  </si>
  <si>
    <t xml:space="preserve">Days to close</t>
  </si>
  <si>
    <t xml:space="preserve">Target</t>
  </si>
  <si>
    <t xml:space="preserve">Gross margin 2026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</si>
  <si>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</si>
  <si>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</si>
  <si>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</si>
  <si>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</si>
  <si>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</si>
  <si>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</si>
  <si>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</si>
  <si>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</si>
  <si>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</si>
  <si>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</si>
  <si>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</si>
  <si>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</si>
  <si>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AR bucket</t>
  </si>
  <si>
    <t xml:space="preserve">Amount</t>
  </si>
  <si>
    <t xml:space="preserve">Current</t>
  </si>
  <si>
    <t xml:space="preserve">1–30</t>
  </si>
  <si>
    <t xml:space="preserve">31–60</t>
  </si>
  <si>
    <t xml:space="preserve">61–90</t>
  </si>
  <si>
    <t xml:space="preserve">90+</t>
  </si>
  <si>
    <t xml:space="preserve">How to use this workbook</t>
  </si>
  <si>
    <t xml:space="preserve">Executive analytics for Everlast Welders' bookkeeping. Sample figures until replaced with QuickBooks actuals.</t>
  </si>
  <si>
    <t xml:space="preserve">Report month</t>
  </si>
  <si>
    <t xml:space="preserve">Change the yellow cell on the Dashboard (1–12). Every YTD figure, tile and comment updates to that month.</t>
  </si>
  <si>
    <t xml:space="preserve">Blue cells</t>
  </si>
  <si>
    <t xml:space="preserve">Inputs. Paste QuickBooks actuals over them each month after close.</t>
  </si>
  <si>
    <t xml:space="preserve">Black cells</t>
  </si>
  <si>
    <t xml:space="preserve">Formulas. Don't type over them.</t>
  </si>
  <si>
    <t xml:space="preserve">Green cells</t>
  </si>
  <si>
    <t xml:space="preserve">Pulled from another tab.</t>
  </si>
  <si>
    <t xml:space="preserve">Yellow cells</t>
  </si>
  <si>
    <t xml:space="preserve">Settings you can change, such as the report month, reorder thresholds and close target.</t>
  </si>
  <si>
    <t xml:space="preserve">Monthly update (after close)</t>
  </si>
  <si>
    <t xml:space="preserve">1. P&amp;L Monthly: enter the month's revenue, COGS and expenses by line.  2. Channels: enter sales by channel; the Check row should read 0.  3. Balance &amp; Cash: enter month-end balances.  4. AR Aging and Inventory: paste the latest figures.  5. Close KPIs: enter business days to close.  6. Set the Dashboard report month.</t>
  </si>
  <si>
    <t xml:space="preserve">Reading the tiles</t>
  </si>
  <si>
    <t xml:space="preserve">Net revenue and change vs 2025; gross margin; operating income; month-end cash with working capital; share of dealer AR over 30 days; days to close vs target.</t>
  </si>
  <si>
    <t xml:space="preserve">Reading the charts</t>
  </si>
  <si>
    <t xml:space="preserve">Revenue line: solid blue is 2026, dashed grey 2025. Margin bars: longest bar is the most profitable line. Channel ring: share of sales. Balance lines: watch inventory rising faster than sales. AR bars: anything right of 1–30 days needs follow-up. Close bars: orange above the dashed line means the close ran late.</t>
  </si>
  <si>
    <t xml:space="preserve">Status colors</t>
  </si>
  <si>
    <t xml:space="preserve">Red = needs action (reorder, AR over 25% past 30 days, close over target). Amber = overstock. Green = on track.</t>
  </si>
  <si>
    <t xml:space="preserve">Data source</t>
  </si>
  <si>
    <t xml:space="preserve">Sample data for review. QuickBooks reports to use: Profit &amp; Loss by Class (channels) and by Product line, Balance Sheet, A/R Aging Summary, Inventory Valuation Summary.</t>
  </si>
  <si>
    <t xml:space="preserve">Monthly P&amp;L by product line — 2026</t>
  </si>
  <si>
    <t xml:space="preserve">SAMPLE FIGURES. Replace blue cells with QuickBooks actuals (Jan–Sep shown; Oct–Dec left blank to fill). Black cells are formulas.</t>
  </si>
  <si>
    <t xml:space="preserve">Month index (helper)</t>
  </si>
  <si>
    <t xml:space="preserve">Line ($)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</si>
  <si>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</si>
  <si>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</si>
  <si>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</si>
  <si>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</si>
  <si>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</si>
  <si>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</si>
  <si>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</si>
  <si>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</si>
  <si>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</si>
  <si>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</si>
  <si>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</si>
  <si>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</si>
  <si>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to report month</t>
  </si>
  <si>
    <t xml:space="preserve">FY 2026</t>
  </si>
  <si>
    <t xml:space="preserve">REVENUE BY PRODUCT LINE</t>
  </si>
  <si>
    <t xml:space="preserve">MIG welders</t>
  </si>
  <si>
    <t xml:space="preserve">TIG welders</t>
  </si>
  <si>
    <t xml:space="preserve">Stick welders</t>
  </si>
  <si>
    <t xml:space="preserve">Multi-process welders</t>
  </si>
  <si>
    <t xml:space="preserve">Plasma cutters</t>
  </si>
  <si>
    <t xml:space="preserve">Accessories &amp; consumables</t>
  </si>
  <si>
    <t xml:space="preserve">Parts &amp; repairs</t>
  </si>
  <si>
    <t xml:space="preserve">Gross product sales</t>
  </si>
  <si>
    <t xml:space="preserve">Returns &amp; refunds (enter as positive)</t>
  </si>
  <si>
    <t xml:space="preserve">Discounts &amp; promotions (enter as positive)</t>
  </si>
  <si>
    <t xml:space="preserve">Marketplace fees (enter as positive)</t>
  </si>
  <si>
    <t xml:space="preserve">COST OF GOODS SOLD (at landed cost)</t>
  </si>
  <si>
    <t xml:space="preserve">COGS – MIG welders</t>
  </si>
  <si>
    <t xml:space="preserve">COGS – TIG welders</t>
  </si>
  <si>
    <t xml:space="preserve">COGS – Stick welders</t>
  </si>
  <si>
    <t xml:space="preserve">COGS – Multi-process welders</t>
  </si>
  <si>
    <t xml:space="preserve">COGS – Plasma cutters</t>
  </si>
  <si>
    <t xml:space="preserve">COGS – Accessories &amp; consumables</t>
  </si>
  <si>
    <t xml:space="preserve">COGS – Parts &amp; repairs</t>
  </si>
  <si>
    <t xml:space="preserve">Outbound shipping</t>
  </si>
  <si>
    <t xml:space="preserve">Inventory adjustments &amp; shrink</t>
  </si>
  <si>
    <t xml:space="preserve">Total COGS</t>
  </si>
  <si>
    <t xml:space="preserve">Gross margin %</t>
  </si>
  <si>
    <t xml:space="preserve">OPERATING EXPENSES</t>
  </si>
  <si>
    <t xml:space="preserve">Advertising (digital &amp; social)</t>
  </si>
  <si>
    <t xml:space="preserve">Merchant &amp; processing fees</t>
  </si>
  <si>
    <t xml:space="preserve">Payroll</t>
  </si>
  <si>
    <t xml:space="preserve">Rent &amp; warehouse</t>
  </si>
  <si>
    <t xml:space="preserve">Warranty expense</t>
  </si>
  <si>
    <t xml:space="preserve">Software &amp; IT</t>
  </si>
  <si>
    <t xml:space="preserve">Professional fees</t>
  </si>
  <si>
    <t xml:space="preserve">Other operating</t>
  </si>
  <si>
    <t xml:space="preserve">Total operating expenses</t>
  </si>
  <si>
    <t xml:space="preserve">Operating margin %</t>
  </si>
  <si>
    <t xml:space="preserve">Gross product sales by channel — 2026</t>
  </si>
  <si>
    <t xml:space="preserve">SAMPLE FIGURES. Channel totals should equal Gross product sales on the P&amp;L; the Check row flags any difference.</t>
  </si>
  <si>
    <t xml:space="preserve">Channel ($)</t>
  </si>
  <si>
    <t xml:space="preserve">Website store</t>
  </si>
  <si>
    <t xml:space="preserve">Amazon &amp; marketplaces</t>
  </si>
  <si>
    <t xml:space="preserve">Dealers &amp; distributors</t>
  </si>
  <si>
    <t xml:space="preserve">Phone &amp; direct</t>
  </si>
  <si>
    <t xml:space="preserve">Total</t>
  </si>
  <si>
    <t xml:space="preserve">Check vs P&amp;L gross sales (should be 0)</t>
  </si>
  <si>
    <t xml:space="preserve">Prior year comparison — 2025</t>
  </si>
  <si>
    <t xml:space="preserve">SAMPLE FIGURES. Enter 2025 actuals from QuickBooks for year-over-year comparison.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</si>
  <si>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</si>
  <si>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</si>
  <si>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</si>
  <si>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</si>
  <si>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</si>
  <si>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</si>
  <si>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</si>
  <si>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</si>
  <si>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</si>
  <si>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</si>
  <si>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</si>
  <si>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</si>
  <si>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FY 2025</t>
  </si>
  <si>
    <t xml:space="preserve">Month-end balances — 2026</t>
  </si>
  <si>
    <t xml:space="preserve">SAMPLE FIGURES. Enter month-end balances from the QuickBooks balance sheet.</t>
  </si>
  <si>
    <t xml:space="preserve">Balance ($)</t>
  </si>
  <si>
    <t xml:space="preserve">Accounts receivable (dealers)</t>
  </si>
  <si>
    <t xml:space="preserve">Inventory at landed cost</t>
  </si>
  <si>
    <t xml:space="preserve">Accounts payable</t>
  </si>
  <si>
    <t xml:space="preserve">Working capital (cash + AR + inventory − AP)</t>
  </si>
  <si>
    <t xml:space="preserve">Dealer receivables aging — as of Sep 30, 2026</t>
  </si>
  <si>
    <t xml:space="preserve">SAMPLE FIGURES with placeholder dealer names. Paste the QuickBooks A/R Aging Summary here.</t>
  </si>
  <si>
    <t xml:space="preserve">Dealer</t>
  </si>
  <si>
    <t xml:space="preserve">1–30 days</t>
  </si>
  <si>
    <t xml:space="preserve">31–60 days</t>
  </si>
  <si>
    <t xml:space="preserve">61–90 days</t>
  </si>
  <si>
    <t xml:space="preserve">90+ days</t>
  </si>
  <si>
    <t xml:space="preserve">% over 30 days</t>
  </si>
  <si>
    <t xml:space="preserve">Dealer A</t>
  </si>
  <si>
    <t xml:space="preserve">Dealer B</t>
  </si>
  <si>
    <t xml:space="preserve">Dealer C</t>
  </si>
  <si>
    <t xml:space="preserve">Dealer D</t>
  </si>
  <si>
    <t xml:space="preserve">Dealer E</t>
  </si>
  <si>
    <t xml:space="preserve">Dealer F</t>
  </si>
  <si>
    <t xml:space="preserve">Dealer G</t>
  </si>
  <si>
    <t xml:space="preserve">Dealer H</t>
  </si>
  <si>
    <t xml:space="preserve">Inventory health by product line — as of Sep 30, 2026</t>
  </si>
  <si>
    <t xml:space="preserve">SAMPLE FIGURES. Weeks of cover = units on hand ÷ average weekly units sold. Under 6 weeks = reorder; over 26 weeks = overstock.</t>
  </si>
  <si>
    <t xml:space="preserve">Reorder below (weeks)</t>
  </si>
  <si>
    <t xml:space="preserve">Overstock above (weeks)</t>
  </si>
  <si>
    <t xml:space="preserve">Units on hand</t>
  </si>
  <si>
    <t xml:space="preserve">Avg units sold / month (last 3 mo)</t>
  </si>
  <si>
    <t xml:space="preserve">Stock value at landed cost</t>
  </si>
  <si>
    <t xml:space="preserve">Weeks of cover</t>
  </si>
  <si>
    <t xml:space="preserve">Status</t>
  </si>
  <si>
    <t xml:space="preserve">Share of stock value</t>
  </si>
  <si>
    <t xml:space="preserve">Month-end close performance — 2026</t>
  </si>
  <si>
    <t xml:space="preserve">SAMPLE FIGURES. Business days taken to close each month; target is 10.</t>
  </si>
  <si>
    <t xml:space="preserve">Measure</t>
  </si>
  <si>
    <t xml:space="preserve">Business days to close</t>
  </si>
  <si>
    <t xml:space="preserve">Target business days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</si>
</sst>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0"/>
    <numFmt numFmtId="168" formatCode="\$#,##0"/>
    <numFmt numFmtId="169" formatCode="0.0%"/>
    <numFmt numFmtId="170" formatCode="0%"/>
    <numFmt numFmtId="171" formatCode="#,##0"/>
    <numFmt numFmtId="172" formatCode="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3F0E8"/>
      <name val="Arial"/>
      <family val="0"/>
      <charset val="1"/>
    </font>
    <font>
      <i val="true"/>
      <sz val="11"/>
      <color rgb="FFF08A2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E5FD6"/>
      <name val="Arial"/>
      <family val="0"/>
      <charset val="1"/>
    </font>
    <font>
      <b val="true"/>
      <sz val="9"/>
      <color rgb="FF5A6170"/>
      <name val="Arial"/>
      <family val="0"/>
      <charset val="1"/>
    </font>
    <font>
      <b val="true"/>
      <sz val="22"/>
      <color rgb="FF1E5FD6"/>
      <name val="Arial"/>
      <family val="0"/>
      <charset val="1"/>
    </font>
    <font>
      <b val="true"/>
      <sz val="22"/>
      <color rgb="FFF08A24"/>
      <name val="Arial"/>
      <family val="0"/>
      <charset val="1"/>
    </font>
    <font>
      <sz val="9"/>
      <color rgb="FF5A6170"/>
      <name val="Arial"/>
      <family val="0"/>
      <charset val="1"/>
    </font>
    <font>
      <b val="true"/>
      <sz val="12"/>
      <color rgb="FF15191F"/>
      <name val="Arial"/>
      <family val="0"/>
      <charset val="1"/>
    </font>
    <font>
      <b val="true"/>
      <sz val="11"/>
      <color rgb="FFF3F0E8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A6170"/>
      <name val="Arial"/>
      <family val="0"/>
      <charset val="1"/>
    </font>
    <font>
      <sz val="8"/>
      <color rgb="FF5A61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5191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8"/>
      <color rgb="FF9AA0A8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3F0E8"/>
        <bgColor rgb="FFF6F3EC"/>
      </patternFill>
    </fill>
    <fill>
      <patternFill patternType="solid">
        <fgColor rgb="FF15191F"/>
        <bgColor rgb="FF000000"/>
      </patternFill>
    </fill>
    <fill>
      <patternFill patternType="solid">
        <fgColor rgb="FFFFF4C2"/>
        <bgColor rgb="FFFFF1DD"/>
      </patternFill>
    </fill>
    <fill>
      <patternFill patternType="solid">
        <fgColor rgb="FFFFFDF8"/>
        <bgColor rgb="FFF9F9F9"/>
      </patternFill>
    </fill>
    <fill>
      <patternFill patternType="solid">
        <fgColor rgb="FFEEF3FC"/>
        <bgColor rgb="FFF6F3EC"/>
      </patternFill>
    </fill>
    <fill>
      <patternFill patternType="solid">
        <fgColor rgb="FFF6F3EC"/>
        <bgColor rgb="FFF3F0E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D7CA"/>
      </left>
      <right style="thin">
        <color rgb="FFDDD7CA"/>
      </right>
      <top style="thin">
        <color rgb="FFDDD7CA"/>
      </top>
      <bottom style="thin">
        <color rgb="FFDDD7CA"/>
      </bottom>
      <diagonal/>
    </border>
    <border diagonalUp="false" diagonalDown="false">
      <left/>
      <right/>
      <top style="thick">
        <color rgb="FF1E5FD6"/>
      </top>
      <bottom/>
      <diagonal/>
    </border>
    <border diagonalUp="false" diagonalDown="false">
      <left/>
      <right/>
      <top style="thick">
        <color rgb="FFF08A2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E7A3C"/>
      </font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B42318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B45F0E"/>
      </font>
      <fill>
        <patternFill>
          <bgColor rgb="FFFFF1DD"/>
        </patternFill>
      </fill>
    </dxf>
    <dxf>
      <font>
        <name val="Arial"/>
        <charset val="1"/>
        <family val="0"/>
        <b val="1"/>
        <color rgb="FF1E7A3C"/>
      </font>
      <fill>
        <patternFill>
          <bgColor rgb="FFE3F4E8"/>
        </patternFill>
      </fill>
    </dxf>
  </dxfs>
  <colors>
    <indexedColors>
      <rgbColor rgb="FF000000"/>
      <rgbColor rgb="FFFFFD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F0E"/>
      <rgbColor rgb="FF800080"/>
      <rgbColor rgb="FF1E7A3C"/>
      <rgbColor rgb="FFDDD7CA"/>
      <rgbColor rgb="FF878787"/>
      <rgbColor rgb="FF9999FF"/>
      <rgbColor rgb="FFC0504D"/>
      <rgbColor rgb="FFFFF4C2"/>
      <rgbColor rgb="FFE3F4E8"/>
      <rgbColor rgb="FF660066"/>
      <rgbColor rgb="FFFF8080"/>
      <rgbColor rgb="FF1E5FD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C"/>
      <rgbColor rgb="FFF3F0E8"/>
      <rgbColor rgb="FFFFF1DD"/>
      <rgbColor rgb="FFF6F3EC"/>
      <rgbColor rgb="FFF9F9F9"/>
      <rgbColor rgb="FFCC99FF"/>
      <rgbColor rgb="FFFDE2E1"/>
      <rgbColor rgb="FF4F81BD"/>
      <rgbColor rgb="FF33CCCC"/>
      <rgbColor rgb="FF9BBB59"/>
      <rgbColor rgb="FFFFCC00"/>
      <rgbColor rgb="FFF08A24"/>
      <rgbColor rgb="FFFF6600"/>
      <rgbColor rgb="FF8064A2"/>
      <rgbColor rgb="FF9AA0A8"/>
      <rgbColor rgb="FF003366"/>
      <rgbColor rgb="FF5A8170"/>
      <rgbColor rgb="FF15191F"/>
      <rgbColor rgb="FF333300"/>
      <rgbColor rgb="FFB42318"/>
      <rgbColor rgb="FF993366"/>
      <rgbColor rgb="FF5A617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revenue: 2026 (bars) vs 2025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Dashboard!C81</c:f>
              <c:strCache>
                <c:ptCount val="1"/>
                <c:pt idx="0">
                  <c:v>Net revenue 2026</c:v>
                </c:pt>
              </c:strCache>
            </c:strRef>
          </c:tx>
          <c:spPr>
            <a:solidFill>
              <a:srgbClr val="1e5f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Dashboard!$C$82:$C$93</c:f>
              <c:numCache>
                <c:formatCode>\$#,##0;"($"#,##0\);\-</c:formatCode>
                <c:ptCount val="12"/>
                <c:pt idx="0">
                  <c:v>614300</c:v>
                </c:pt>
                <c:pt idx="1">
                  <c:v>649300</c:v>
                </c:pt>
                <c:pt idx="2">
                  <c:v>716400</c:v>
                </c:pt>
                <c:pt idx="3">
                  <c:v>755300</c:v>
                </c:pt>
                <c:pt idx="4">
                  <c:v>723800</c:v>
                </c:pt>
                <c:pt idx="5">
                  <c:v>688000</c:v>
                </c:pt>
                <c:pt idx="6">
                  <c:v>658700</c:v>
                </c:pt>
                <c:pt idx="7">
                  <c:v>700600</c:v>
                </c:pt>
                <c:pt idx="8">
                  <c:v>744800</c:v>
                </c:pt>
              </c:numCache>
            </c:numRef>
          </c:val>
        </c:ser>
        <c:gapWidth val="150"/>
        <c:overlap val="0"/>
        <c:axId val="31715029"/>
        <c:axId val="51533835"/>
      </c:barChart>
      <c:lineChart>
        <c:grouping val="standard"/>
        <c:varyColors val="0"/>
        <c:ser>
          <c:idx val="1"/>
          <c:order val="1"/>
          <c:tx>
            <c:strRef>
              <c:f>Dashboard!D81</c:f>
              <c:strCache>
                <c:ptCount val="1"/>
                <c:pt idx="0">
                  <c:v>Net revenue 2025</c:v>
                </c:pt>
              </c:strCache>
            </c:strRef>
          </c:tx>
          <c:spPr>
            <a:solidFill>
              <a:srgbClr val="f08a24"/>
            </a:solidFill>
            <a:ln w="28080">
              <a:solidFill>
                <a:srgbClr val="f08a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Dashboard!$D$82:$D$93</c:f>
              <c:numCache>
                <c:formatCode>\$#,##0;"($"#,##0\);\-</c:formatCode>
                <c:ptCount val="12"/>
                <c:pt idx="0">
                  <c:v>550000</c:v>
                </c:pt>
                <c:pt idx="1">
                  <c:v>583000</c:v>
                </c:pt>
                <c:pt idx="2">
                  <c:v>648000</c:v>
                </c:pt>
                <c:pt idx="3">
                  <c:v>680000</c:v>
                </c:pt>
                <c:pt idx="4">
                  <c:v>648000</c:v>
                </c:pt>
                <c:pt idx="5">
                  <c:v>615000</c:v>
                </c:pt>
                <c:pt idx="6">
                  <c:v>595000</c:v>
                </c:pt>
                <c:pt idx="7">
                  <c:v>628000</c:v>
                </c:pt>
                <c:pt idx="8">
                  <c:v>667000</c:v>
                </c:pt>
                <c:pt idx="9">
                  <c:v>712000</c:v>
                </c:pt>
                <c:pt idx="10">
                  <c:v>790000</c:v>
                </c:pt>
                <c:pt idx="11">
                  <c:v>874000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715029"/>
        <c:axId val="51533835"/>
      </c:lineChart>
      <c:catAx>
        <c:axId val="31715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33835"/>
        <c:crosses val="autoZero"/>
        <c:auto val="1"/>
        <c:lblAlgn val="ctr"/>
        <c:lblOffset val="100"/>
        <c:noMultiLvlLbl val="0"/>
      </c:catAx>
      <c:valAx>
        <c:axId val="51533835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50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by product line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Dashboard!O12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f08a2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Dashboard!$J$13:$J$19</c:f>
              <c:strCache>
                <c:ptCount val="7"/>
                <c:pt idx="0">
                  <c:v>MIG welders</c:v>
                </c:pt>
                <c:pt idx="1">
                  <c:v>TIG welders</c:v>
                </c:pt>
                <c:pt idx="2">
                  <c:v>Stick welders</c:v>
                </c:pt>
                <c:pt idx="3">
                  <c:v>Multi-process welders</c:v>
                </c:pt>
                <c:pt idx="4">
                  <c:v>Plasma cutters</c:v>
                </c:pt>
                <c:pt idx="5">
                  <c:v>Accessories &amp; consumables</c:v>
                </c:pt>
                <c:pt idx="6">
                  <c:v>Parts &amp; repairs</c:v>
                </c:pt>
              </c:strCache>
            </c:strRef>
          </c:cat>
          <c:val>
            <c:numRef>
              <c:f>Dashboard!$O$13:$O$19</c:f>
              <c:numCache>
                <c:formatCode>0.0%;\(0.0%\);\-</c:formatCode>
                <c:ptCount val="7"/>
                <c:pt idx="0">
                  <c:v>0.419858622390268</c:v>
                </c:pt>
                <c:pt idx="1">
                  <c:v>0.45000719320961</c:v>
                </c:pt>
                <c:pt idx="2">
                  <c:v>0.399795501022495</c:v>
                </c:pt>
                <c:pt idx="3">
                  <c:v>0.439838802533103</c:v>
                </c:pt>
                <c:pt idx="4">
                  <c:v>0.430051415854501</c:v>
                </c:pt>
                <c:pt idx="5">
                  <c:v>0.54995938261576</c:v>
                </c:pt>
                <c:pt idx="6">
                  <c:v>0.599631845375058</c:v>
                </c:pt>
              </c:numCache>
            </c:numRef>
          </c:val>
        </c:ser>
        <c:gapWidth val="150"/>
        <c:overlap val="0"/>
        <c:axId val="79404092"/>
        <c:axId val="44879455"/>
      </c:barChart>
      <c:catAx>
        <c:axId val="7940409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79455"/>
        <c:crosses val="autoZero"/>
        <c:auto val="1"/>
        <c:lblAlgn val="ctr"/>
        <c:lblOffset val="100"/>
        <c:noMultiLvlLbl val="0"/>
      </c:catAx>
      <c:valAx>
        <c:axId val="44879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04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Channel mix (YTD sales)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Dashboard!D19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Dashboard!$B$20:$B$23</c:f>
              <c:strCache>
                <c:ptCount val="4"/>
                <c:pt idx="0">
                  <c:v>Website store</c:v>
                </c:pt>
                <c:pt idx="1">
                  <c:v>Amazon &amp; marketplaces</c:v>
                </c:pt>
                <c:pt idx="2">
                  <c:v>Dealers &amp; distributors</c:v>
                </c:pt>
                <c:pt idx="3">
                  <c:v>Phone &amp; direct</c:v>
                </c:pt>
              </c:strCache>
            </c:strRef>
          </c:cat>
          <c:val>
            <c:numRef>
              <c:f>Dashboard!$D$20:$D$23</c:f>
              <c:numCache>
                <c:formatCode>\$#,##0;"($"#,##0\);\-</c:formatCode>
                <c:ptCount val="4"/>
                <c:pt idx="0">
                  <c:v>2647700</c:v>
                </c:pt>
                <c:pt idx="1">
                  <c:v>1863700</c:v>
                </c:pt>
                <c:pt idx="2">
                  <c:v>1912500</c:v>
                </c:pt>
                <c:pt idx="3">
                  <c:v>483600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Cash, receivables and inventory (month-end)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1e5f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Dashboard!$E$82:$E$93</c:f>
              <c:numCache>
                <c:formatCode>\$#,##0;"($"#,##0\);\-</c:formatCode>
                <c:ptCount val="12"/>
                <c:pt idx="0">
                  <c:v>410000</c:v>
                </c:pt>
                <c:pt idx="1">
                  <c:v>385000</c:v>
                </c:pt>
                <c:pt idx="2">
                  <c:v>362000</c:v>
                </c:pt>
                <c:pt idx="3">
                  <c:v>398000</c:v>
                </c:pt>
                <c:pt idx="4">
                  <c:v>421000</c:v>
                </c:pt>
                <c:pt idx="5">
                  <c:v>404000</c:v>
                </c:pt>
                <c:pt idx="6">
                  <c:v>377000</c:v>
                </c:pt>
                <c:pt idx="7">
                  <c:v>352000</c:v>
                </c:pt>
                <c:pt idx="8">
                  <c:v>368000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Dashboard!F81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f08a2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Dashboard!$F$82:$F$93</c:f>
              <c:numCache>
                <c:formatCode>\$#,##0;"($"#,##0\);\-</c:formatCode>
                <c:ptCount val="12"/>
                <c:pt idx="0">
                  <c:v>218000</c:v>
                </c:pt>
                <c:pt idx="1">
                  <c:v>226000</c:v>
                </c:pt>
                <c:pt idx="2">
                  <c:v>241000</c:v>
                </c:pt>
                <c:pt idx="3">
                  <c:v>252000</c:v>
                </c:pt>
                <c:pt idx="4">
                  <c:v>247000</c:v>
                </c:pt>
                <c:pt idx="5">
                  <c:v>236000</c:v>
                </c:pt>
                <c:pt idx="6">
                  <c:v>229000</c:v>
                </c:pt>
                <c:pt idx="7">
                  <c:v>244000</c:v>
                </c:pt>
                <c:pt idx="8">
                  <c:v>261000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Dashboard!G81</c:f>
              <c:strCache>
                <c:ptCount val="1"/>
                <c:pt idx="0">
                  <c:v>Inventory</c:v>
                </c:pt>
              </c:strCache>
            </c:strRef>
          </c:tx>
          <c:spPr>
            <a:solidFill>
              <a:srgbClr val="5a81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Dashboard!$G$82:$G$93</c:f>
              <c:numCache>
                <c:formatCode>\$#,##0;"($"#,##0\);\-</c:formatCode>
                <c:ptCount val="12"/>
                <c:pt idx="0">
                  <c:v>1420000</c:v>
                </c:pt>
                <c:pt idx="1">
                  <c:v>1465000</c:v>
                </c:pt>
                <c:pt idx="2">
                  <c:v>1510000</c:v>
                </c:pt>
                <c:pt idx="3">
                  <c:v>1480000</c:v>
                </c:pt>
                <c:pt idx="4">
                  <c:v>1455000</c:v>
                </c:pt>
                <c:pt idx="5">
                  <c:v>1490000</c:v>
                </c:pt>
                <c:pt idx="6">
                  <c:v>1560000</c:v>
                </c:pt>
                <c:pt idx="7">
                  <c:v>1640000</c:v>
                </c:pt>
                <c:pt idx="8">
                  <c:v>1715000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5636520"/>
        <c:axId val="8841205"/>
      </c:barChart>
      <c:catAx>
        <c:axId val="6563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1205"/>
        <c:crosses val="autoZero"/>
        <c:auto val="1"/>
        <c:lblAlgn val="ctr"/>
        <c:lblOffset val="100"/>
        <c:noMultiLvlLbl val="0"/>
      </c:catAx>
      <c:valAx>
        <c:axId val="8841205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365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Dealer AR aging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1e5f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Dashboard!$B$96:$B$100</c:f>
              <c:strCache>
                <c:ptCount val="5"/>
                <c:pt idx="0">
                  <c:v>Current</c:v>
                </c:pt>
                <c:pt idx="1">
                  <c:v>1–30</c:v>
                </c:pt>
                <c:pt idx="2">
                  <c:v>31–60</c:v>
                </c:pt>
                <c:pt idx="3">
                  <c:v>61–90</c:v>
                </c:pt>
                <c:pt idx="4">
                  <c:v>90+</c:v>
                </c:pt>
              </c:strCache>
            </c:strRef>
          </c:cat>
          <c:val>
            <c:numRef>
              <c:f>Dashboard!$C$96:$C$100</c:f>
              <c:numCache>
                <c:formatCode>\$#,##0;"($"#,##0\);\-</c:formatCode>
                <c:ptCount val="5"/>
                <c:pt idx="0">
                  <c:v>165000</c:v>
                </c:pt>
                <c:pt idx="1">
                  <c:v>57500</c:v>
                </c:pt>
                <c:pt idx="2">
                  <c:v>22400</c:v>
                </c:pt>
                <c:pt idx="3">
                  <c:v>6900</c:v>
                </c:pt>
                <c:pt idx="4">
                  <c:v>5500</c:v>
                </c:pt>
              </c:numCache>
            </c:numRef>
          </c:val>
        </c:ser>
        <c:gapWidth val="150"/>
        <c:overlap val="0"/>
        <c:axId val="56240694"/>
        <c:axId val="73471098"/>
      </c:barChart>
      <c:catAx>
        <c:axId val="56240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1098"/>
        <c:crosses val="autoZero"/>
        <c:auto val="1"/>
        <c:lblAlgn val="ctr"/>
        <c:lblOffset val="100"/>
        <c:noMultiLvlLbl val="0"/>
      </c:catAx>
      <c:valAx>
        <c:axId val="7347109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406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Business days to close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Dashboard!H81</c:f>
              <c:strCache>
                <c:ptCount val="1"/>
                <c:pt idx="0">
                  <c:v>Days to close</c:v>
                </c:pt>
              </c:strCache>
            </c:strRef>
          </c:tx>
          <c:spPr>
            <a:solidFill>
              <a:srgbClr val="f08a2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Dashboard!$H$82:$H$93</c:f>
              <c:numCache>
                <c:formatCode>General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4142838"/>
        <c:axId val="30644674"/>
      </c:barChart>
      <c:lineChart>
        <c:grouping val="standard"/>
        <c:varyColors val="0"/>
        <c:ser>
          <c:idx val="1"/>
          <c:order val="1"/>
          <c:tx>
            <c:strRef>
              <c:f>Dashboard!I81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15191f"/>
            </a:solidFill>
            <a:ln w="47520">
              <a:solidFill>
                <a:srgbClr val="15191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Dashboard!$I$82:$I$93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142838"/>
        <c:axId val="30644674"/>
      </c:lineChart>
      <c:catAx>
        <c:axId val="14142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44674"/>
        <c:crosses val="autoZero"/>
        <c:auto val="1"/>
        <c:lblAlgn val="ctr"/>
        <c:lblOffset val="100"/>
        <c:noMultiLvlLbl val="0"/>
      </c:catAx>
      <c:valAx>
        <c:axId val="30644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428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%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Dashboard!J81</c:f>
              <c:strCache>
                <c:ptCount val="1"/>
                <c:pt idx="0">
                  <c:v>Gross margin 2026</c:v>
                </c:pt>
              </c:strCache>
            </c:strRef>
          </c:tx>
          <c:spPr>
            <a:solidFill>
              <a:srgbClr val="1e5f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Dashboard!$B$82:$B$93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Dashboard!$J$82:$J$93</c:f>
              <c:numCache>
                <c:formatCode>0.0%;\(0.0%\);\-</c:formatCode>
                <c:ptCount val="12"/>
                <c:pt idx="0">
                  <c:v>0.3504802213902</c:v>
                </c:pt>
                <c:pt idx="1">
                  <c:v>0.346219005082396</c:v>
                </c:pt>
                <c:pt idx="2">
                  <c:v>0.348408710217755</c:v>
                </c:pt>
                <c:pt idx="3">
                  <c:v>0.35032437442076</c:v>
                </c:pt>
                <c:pt idx="4">
                  <c:v>0.347057198121028</c:v>
                </c:pt>
                <c:pt idx="5">
                  <c:v>0.34781976744186</c:v>
                </c:pt>
                <c:pt idx="6">
                  <c:v>0.350083497798694</c:v>
                </c:pt>
                <c:pt idx="7">
                  <c:v>0.347131030545247</c:v>
                </c:pt>
                <c:pt idx="8">
                  <c:v>0.348012889366273</c:v>
                </c:pt>
              </c:numCache>
            </c:numRef>
          </c:val>
        </c:ser>
        <c:gapWidth val="150"/>
        <c:overlap val="0"/>
        <c:axId val="52884167"/>
        <c:axId val="6229608"/>
      </c:barChart>
      <c:catAx>
        <c:axId val="52884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9608"/>
        <c:crosses val="autoZero"/>
        <c:auto val="1"/>
        <c:lblAlgn val="ctr"/>
        <c:lblOffset val="100"/>
        <c:noMultiLvlLbl val="0"/>
      </c:catAx>
      <c:valAx>
        <c:axId val="6229608"/>
        <c:scaling>
          <c:orientation val="minMax"/>
          <c:max val="0.6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84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7</xdr:col>
      <xdr:colOff>442080</xdr:colOff>
      <xdr:row>40</xdr:row>
      <xdr:rowOff>115200</xdr:rowOff>
    </xdr:to>
    <xdr:graphicFrame>
      <xdr:nvGraphicFramePr>
        <xdr:cNvPr id="0" name="Chart 1"/>
        <xdr:cNvGraphicFramePr/>
      </xdr:nvGraphicFramePr>
      <xdr:xfrm>
        <a:off x="141120" y="5934240"/>
        <a:ext cx="59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15</xdr:col>
      <xdr:colOff>441720</xdr:colOff>
      <xdr:row>40</xdr:row>
      <xdr:rowOff>115200</xdr:rowOff>
    </xdr:to>
    <xdr:graphicFrame>
      <xdr:nvGraphicFramePr>
        <xdr:cNvPr id="1" name="Chart 2"/>
        <xdr:cNvGraphicFramePr/>
      </xdr:nvGraphicFramePr>
      <xdr:xfrm>
        <a:off x="7471440" y="5934240"/>
        <a:ext cx="59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294480</xdr:colOff>
      <xdr:row>55</xdr:row>
      <xdr:rowOff>115200</xdr:rowOff>
    </xdr:to>
    <xdr:graphicFrame>
      <xdr:nvGraphicFramePr>
        <xdr:cNvPr id="2" name="Chart 3"/>
        <xdr:cNvGraphicFramePr/>
      </xdr:nvGraphicFramePr>
      <xdr:xfrm>
        <a:off x="141120" y="879156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42</xdr:row>
      <xdr:rowOff>0</xdr:rowOff>
    </xdr:from>
    <xdr:to>
      <xdr:col>12</xdr:col>
      <xdr:colOff>97920</xdr:colOff>
      <xdr:row>55</xdr:row>
      <xdr:rowOff>115200</xdr:rowOff>
    </xdr:to>
    <xdr:graphicFrame>
      <xdr:nvGraphicFramePr>
        <xdr:cNvPr id="3" name="Chart 4"/>
        <xdr:cNvGraphicFramePr/>
      </xdr:nvGraphicFramePr>
      <xdr:xfrm>
        <a:off x="5638680" y="879156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42</xdr:row>
      <xdr:rowOff>0</xdr:rowOff>
    </xdr:from>
    <xdr:to>
      <xdr:col>17</xdr:col>
      <xdr:colOff>850680</xdr:colOff>
      <xdr:row>55</xdr:row>
      <xdr:rowOff>115200</xdr:rowOff>
    </xdr:to>
    <xdr:graphicFrame>
      <xdr:nvGraphicFramePr>
        <xdr:cNvPr id="4" name="Chart 5"/>
        <xdr:cNvGraphicFramePr/>
      </xdr:nvGraphicFramePr>
      <xdr:xfrm>
        <a:off x="12052800" y="8791560"/>
        <a:ext cx="35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6</xdr:col>
      <xdr:colOff>98280</xdr:colOff>
      <xdr:row>70</xdr:row>
      <xdr:rowOff>115200</xdr:rowOff>
    </xdr:to>
    <xdr:graphicFrame>
      <xdr:nvGraphicFramePr>
        <xdr:cNvPr id="5" name="Chart 6"/>
        <xdr:cNvGraphicFramePr/>
      </xdr:nvGraphicFramePr>
      <xdr:xfrm>
        <a:off x="141120" y="1164924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14</xdr:col>
      <xdr:colOff>98280</xdr:colOff>
      <xdr:row>70</xdr:row>
      <xdr:rowOff>115200</xdr:rowOff>
    </xdr:to>
    <xdr:graphicFrame>
      <xdr:nvGraphicFramePr>
        <xdr:cNvPr id="6" name="Chart 7"/>
        <xdr:cNvGraphicFramePr/>
      </xdr:nvGraphicFramePr>
      <xdr:xfrm>
        <a:off x="7471440" y="1164924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3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</row>
    <row r="2" customFormat="false" ht="15" hidden="false" customHeight="false" outlineLevel="0" collapsed="false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/>
      <c r="B4" s="4" t="s">
        <v>2</v>
      </c>
      <c r="C4" s="5" t="n">
        <v>9</v>
      </c>
      <c r="D4" s="6" t="str">
        <f aca="false">CHOOSE(ReportMonth,"January","February","March","April","May","June","July","August","September","October","November","December")&amp;" 2026 · YTD view"</f>
        <v>September 2026 · YTD view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1"/>
      <c r="B6" s="7" t="s">
        <v>3</v>
      </c>
      <c r="C6" s="7"/>
      <c r="D6" s="7"/>
      <c r="E6" s="8" t="s">
        <v>4</v>
      </c>
      <c r="F6" s="8"/>
      <c r="G6" s="8"/>
      <c r="H6" s="7" t="s">
        <v>5</v>
      </c>
      <c r="I6" s="7"/>
      <c r="J6" s="7"/>
      <c r="K6" s="8" t="s">
        <v>6</v>
      </c>
      <c r="L6" s="8"/>
      <c r="M6" s="8"/>
      <c r="N6" s="7" t="s">
        <v>7</v>
      </c>
      <c r="O6" s="7"/>
      <c r="P6" s="7"/>
      <c r="Q6" s="8" t="s">
        <v>8</v>
      </c>
      <c r="R6" s="8"/>
      <c r="S6" s="8"/>
      <c r="T6" s="1"/>
    </row>
    <row r="7" customFormat="false" ht="21.75" hidden="false" customHeight="true" outlineLevel="0" collapsed="false">
      <c r="A7" s="1"/>
      <c r="B7" s="9" t="n">
        <f aca="false">'P&amp;L Monthly'!N17</f>
        <v>6251200</v>
      </c>
      <c r="C7" s="9"/>
      <c r="D7" s="9"/>
      <c r="E7" s="10" t="n">
        <f aca="false">'P&amp;L Monthly'!N31</f>
        <v>0.348381110826721</v>
      </c>
      <c r="F7" s="10"/>
      <c r="G7" s="10"/>
      <c r="H7" s="9" t="n">
        <f aca="false">'P&amp;L Monthly'!N43</f>
        <v>204900</v>
      </c>
      <c r="I7" s="9"/>
      <c r="J7" s="9"/>
      <c r="K7" s="11" t="n">
        <f aca="false">INDEX('Balance &amp; Cash'!$B$5:$M$5,ReportMonth)</f>
        <v>368000</v>
      </c>
      <c r="L7" s="11"/>
      <c r="M7" s="11"/>
      <c r="N7" s="12" t="n">
        <f aca="false">'AR Aging'!H13</f>
        <v>0.135250680139915</v>
      </c>
      <c r="O7" s="12"/>
      <c r="P7" s="12"/>
      <c r="Q7" s="13" t="n">
        <f aca="false">INDEX('Close KPIs'!$B$5:$M$5,ReportMonth)</f>
        <v>9</v>
      </c>
      <c r="R7" s="13"/>
      <c r="S7" s="13"/>
      <c r="T7" s="1"/>
    </row>
    <row r="8" customFormat="false" ht="21.75" hidden="false" customHeight="true" outlineLevel="0" collapsed="false">
      <c r="A8" s="1"/>
      <c r="B8" s="9"/>
      <c r="C8" s="9"/>
      <c r="D8" s="9"/>
      <c r="E8" s="10"/>
      <c r="F8" s="10"/>
      <c r="G8" s="10"/>
      <c r="H8" s="9"/>
      <c r="I8" s="9"/>
      <c r="J8" s="9"/>
      <c r="K8" s="11"/>
      <c r="L8" s="11"/>
      <c r="M8" s="11"/>
      <c r="N8" s="12"/>
      <c r="O8" s="12"/>
      <c r="P8" s="12"/>
      <c r="Q8" s="13"/>
      <c r="R8" s="13"/>
      <c r="S8" s="13"/>
      <c r="T8" s="1"/>
    </row>
    <row r="9" customFormat="false" ht="15" hidden="false" customHeight="false" outlineLevel="0" collapsed="false">
      <c r="A9" s="1"/>
      <c r="B9" s="14" t="str">
        <f aca="false">"vs prior year: "&amp;IF('Prior Year 2025'!N6=0,"n/a",TEXT('P&amp;L Monthly'!N17/'Prior Year 2025'!N6-1,"+0.0%;-0.0%"))</f>
        <v>vs prior year: +11.4%</v>
      </c>
      <c r="C9" s="14"/>
      <c r="D9" s="14"/>
      <c r="E9" s="14" t="str">
        <f aca="false">"Gross profit "&amp;TEXT('P&amp;L Monthly'!N30,"$#,##0")</f>
        <v>Gross profit $2,177,800</v>
      </c>
      <c r="F9" s="14"/>
      <c r="G9" s="14"/>
      <c r="H9" s="14" t="str">
        <f aca="false">"Operating margin "&amp;TEXT('P&amp;L Monthly'!N44,"0.0%")</f>
        <v>Operating margin 3.3%</v>
      </c>
      <c r="I9" s="14"/>
      <c r="J9" s="14"/>
      <c r="K9" s="14" t="str">
        <f aca="false">"Working capital "&amp;TEXT(INDEX('Balance &amp; Cash'!$B$9:$M$9,ReportMonth),"$#,##0")</f>
        <v>Working capital $1,956,000</v>
      </c>
      <c r="L9" s="14"/>
      <c r="M9" s="14"/>
      <c r="N9" s="14" t="str">
        <f aca="false">"Total AR "&amp;TEXT('AR Aging'!G13,"$#,##0")</f>
        <v>Total AR $257,300</v>
      </c>
      <c r="O9" s="14"/>
      <c r="P9" s="14"/>
      <c r="Q9" s="14" t="str">
        <f aca="false">"Target "&amp;'Close KPIs'!B8&amp;" business days"</f>
        <v>Target 10 business days</v>
      </c>
      <c r="R9" s="14"/>
      <c r="S9" s="14"/>
      <c r="T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/>
      <c r="B11" s="15" t="s">
        <v>9</v>
      </c>
      <c r="C11" s="1"/>
      <c r="D11" s="1"/>
      <c r="E11" s="1"/>
      <c r="F11" s="1"/>
      <c r="G11" s="1"/>
      <c r="H11" s="1"/>
      <c r="I11" s="1"/>
      <c r="J11" s="15" t="s">
        <v>10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30" hidden="false" customHeight="true" outlineLevel="0" collapsed="false">
      <c r="A12" s="1"/>
      <c r="B12" s="16" t="s">
        <v>11</v>
      </c>
      <c r="C12" s="17" t="s">
        <v>12</v>
      </c>
      <c r="D12" s="17" t="s">
        <v>13</v>
      </c>
      <c r="E12" s="17" t="s">
        <v>14</v>
      </c>
      <c r="F12" s="17" t="s">
        <v>15</v>
      </c>
      <c r="G12" s="17" t="s">
        <v>16</v>
      </c>
      <c r="H12" s="17" t="s">
        <v>17</v>
      </c>
      <c r="I12" s="1"/>
      <c r="J12" s="18" t="s">
        <v>18</v>
      </c>
      <c r="K12" s="18"/>
      <c r="L12" s="17" t="s">
        <v>19</v>
      </c>
      <c r="M12" s="17" t="s">
        <v>20</v>
      </c>
      <c r="N12" s="17" t="s">
        <v>13</v>
      </c>
      <c r="O12" s="17" t="s">
        <v>21</v>
      </c>
      <c r="P12" s="17" t="s">
        <v>22</v>
      </c>
      <c r="Q12" s="1"/>
      <c r="R12" s="1"/>
      <c r="S12" s="1"/>
      <c r="T12" s="1"/>
    </row>
    <row r="13" customFormat="false" ht="15" hidden="false" customHeight="false" outlineLevel="0" collapsed="false">
      <c r="A13" s="1"/>
      <c r="B13" s="19" t="s">
        <v>23</v>
      </c>
      <c r="C13" s="20" t="n">
        <f aca="false">SUMPRODUCT('P&amp;L Monthly'!$B$17:$M$17*(INT(('P&amp;L Monthly'!$B$3:$M$3-1)/3)+1=1))</f>
        <v>1980000</v>
      </c>
      <c r="D13" s="20" t="n">
        <f aca="false">SUMPRODUCT('P&amp;L Monthly'!$B$30:$M$30*(INT(('P&amp;L Monthly'!$B$3:$M$3-1)/3)+1=1))</f>
        <v>689700</v>
      </c>
      <c r="E13" s="21" t="n">
        <f aca="false">IF(C13=0,"",D13/C13)</f>
        <v>0.348333333333333</v>
      </c>
      <c r="F13" s="20" t="n">
        <f aca="false">SUMPRODUCT('P&amp;L Monthly'!$B$42:$M$42*(INT(('P&amp;L Monthly'!$B$3:$M$3-1)/3)+1=1))</f>
        <v>645100</v>
      </c>
      <c r="G13" s="20" t="n">
        <f aca="false">SUMPRODUCT('P&amp;L Monthly'!$B$43:$M$43*(INT(('P&amp;L Monthly'!$B$3:$M$3-1)/3)+1=1))</f>
        <v>44600</v>
      </c>
      <c r="H13" s="21" t="n">
        <f aca="false">IF(C13=0,"",G13/C13)</f>
        <v>0.0225252525252525</v>
      </c>
      <c r="I13" s="1"/>
      <c r="J13" s="22" t="str">
        <f aca="false">'P&amp;L Monthly'!A6</f>
        <v>MIG welders</v>
      </c>
      <c r="K13" s="22"/>
      <c r="L13" s="23" t="n">
        <f aca="false">'P&amp;L Monthly'!N6</f>
        <v>1824900</v>
      </c>
      <c r="M13" s="23" t="n">
        <f aca="false">'P&amp;L Monthly'!N20</f>
        <v>1058700</v>
      </c>
      <c r="N13" s="24" t="n">
        <f aca="false">L13-M13</f>
        <v>766200</v>
      </c>
      <c r="O13" s="25" t="n">
        <f aca="false">IF(L13=0,"",N13/L13)</f>
        <v>0.419858622390268</v>
      </c>
      <c r="P13" s="25" t="n">
        <f aca="false">IF(SUM($L$13:$L$19)=0,"",L13/SUM($L$13:$L$19))</f>
        <v>0.264191096634093</v>
      </c>
      <c r="Q13" s="1"/>
      <c r="R13" s="1"/>
      <c r="S13" s="1"/>
      <c r="T13" s="1"/>
    </row>
    <row r="14" customFormat="false" ht="15" hidden="false" customHeight="false" outlineLevel="0" collapsed="false">
      <c r="A14" s="1"/>
      <c r="B14" s="19" t="s">
        <v>24</v>
      </c>
      <c r="C14" s="20" t="n">
        <f aca="false">SUMPRODUCT('P&amp;L Monthly'!$B$17:$M$17*(INT(('P&amp;L Monthly'!$B$3:$M$3-1)/3)+1=2))</f>
        <v>2167100</v>
      </c>
      <c r="D14" s="20" t="n">
        <f aca="false">SUMPRODUCT('P&amp;L Monthly'!$B$30:$M$30*(INT(('P&amp;L Monthly'!$B$3:$M$3-1)/3)+1=2))</f>
        <v>755100</v>
      </c>
      <c r="E14" s="21" t="n">
        <f aca="false">IF(C14=0,"",D14/C14)</f>
        <v>0.348438004706751</v>
      </c>
      <c r="F14" s="20" t="n">
        <f aca="false">SUMPRODUCT('P&amp;L Monthly'!$B$42:$M$42*(INT(('P&amp;L Monthly'!$B$3:$M$3-1)/3)+1=2))</f>
        <v>666700</v>
      </c>
      <c r="G14" s="20" t="n">
        <f aca="false">SUMPRODUCT('P&amp;L Monthly'!$B$43:$M$43*(INT(('P&amp;L Monthly'!$B$3:$M$3-1)/3)+1=2))</f>
        <v>88400</v>
      </c>
      <c r="H14" s="21" t="n">
        <f aca="false">IF(C14=0,"",G14/C14)</f>
        <v>0.0407918416316737</v>
      </c>
      <c r="I14" s="1"/>
      <c r="J14" s="22" t="str">
        <f aca="false">'P&amp;L Monthly'!A7</f>
        <v>TIG welders</v>
      </c>
      <c r="K14" s="22"/>
      <c r="L14" s="23" t="n">
        <f aca="false">'P&amp;L Monthly'!N7</f>
        <v>1390200</v>
      </c>
      <c r="M14" s="23" t="n">
        <f aca="false">'P&amp;L Monthly'!N21</f>
        <v>764600</v>
      </c>
      <c r="N14" s="24" t="n">
        <f aca="false">L14-M14</f>
        <v>625600</v>
      </c>
      <c r="O14" s="25" t="n">
        <f aca="false">IF(L14=0,"",N14/L14)</f>
        <v>0.45000719320961</v>
      </c>
      <c r="P14" s="25" t="n">
        <f aca="false">IF(SUM($L$13:$L$19)=0,"",L14/SUM($L$13:$L$19))</f>
        <v>0.201259500542888</v>
      </c>
      <c r="Q14" s="1"/>
      <c r="R14" s="1"/>
      <c r="S14" s="1"/>
      <c r="T14" s="1"/>
    </row>
    <row r="15" customFormat="false" ht="15" hidden="false" customHeight="false" outlineLevel="0" collapsed="false">
      <c r="A15" s="1"/>
      <c r="B15" s="19" t="s">
        <v>25</v>
      </c>
      <c r="C15" s="20" t="n">
        <f aca="false">SUMPRODUCT('P&amp;L Monthly'!$B$17:$M$17*(INT(('P&amp;L Monthly'!$B$3:$M$3-1)/3)+1=3))</f>
        <v>2104100</v>
      </c>
      <c r="D15" s="20" t="n">
        <f aca="false">SUMPRODUCT('P&amp;L Monthly'!$B$30:$M$30*(INT(('P&amp;L Monthly'!$B$3:$M$3-1)/3)+1=3))</f>
        <v>733000</v>
      </c>
      <c r="E15" s="21" t="n">
        <f aca="false">IF(C15=0,"",D15/C15)</f>
        <v>0.348367473028848</v>
      </c>
      <c r="F15" s="20" t="n">
        <f aca="false">SUMPRODUCT('P&amp;L Monthly'!$B$42:$M$42*(INT(('P&amp;L Monthly'!$B$3:$M$3-1)/3)+1=3))</f>
        <v>661100</v>
      </c>
      <c r="G15" s="20" t="n">
        <f aca="false">SUMPRODUCT('P&amp;L Monthly'!$B$43:$M$43*(INT(('P&amp;L Monthly'!$B$3:$M$3-1)/3)+1=3))</f>
        <v>71900</v>
      </c>
      <c r="H15" s="21" t="n">
        <f aca="false">IF(C15=0,"",G15/C15)</f>
        <v>0.0341713796872772</v>
      </c>
      <c r="I15" s="1"/>
      <c r="J15" s="22" t="str">
        <f aca="false">'P&amp;L Monthly'!A8</f>
        <v>Stick welders</v>
      </c>
      <c r="K15" s="22"/>
      <c r="L15" s="23" t="n">
        <f aca="false">'P&amp;L Monthly'!N8</f>
        <v>391200</v>
      </c>
      <c r="M15" s="23" t="n">
        <f aca="false">'P&amp;L Monthly'!N22</f>
        <v>234800</v>
      </c>
      <c r="N15" s="24" t="n">
        <f aca="false">L15-M15</f>
        <v>156400</v>
      </c>
      <c r="O15" s="25" t="n">
        <f aca="false">IF(L15=0,"",N15/L15)</f>
        <v>0.399795501022495</v>
      </c>
      <c r="P15" s="25" t="n">
        <f aca="false">IF(SUM($L$13:$L$19)=0,"",L15/SUM($L$13:$L$19))</f>
        <v>0.0566340933767644</v>
      </c>
      <c r="Q15" s="1"/>
      <c r="R15" s="1"/>
      <c r="S15" s="1"/>
      <c r="T15" s="1"/>
    </row>
    <row r="16" customFormat="false" ht="15" hidden="false" customHeight="false" outlineLevel="0" collapsed="false">
      <c r="A16" s="1"/>
      <c r="B16" s="19" t="s">
        <v>26</v>
      </c>
      <c r="C16" s="20" t="n">
        <f aca="false">SUMPRODUCT('P&amp;L Monthly'!$B$17:$M$17*(INT(('P&amp;L Monthly'!$B$3:$M$3-1)/3)+1=4))</f>
        <v>0</v>
      </c>
      <c r="D16" s="20" t="n">
        <f aca="false">SUMPRODUCT('P&amp;L Monthly'!$B$30:$M$30*(INT(('P&amp;L Monthly'!$B$3:$M$3-1)/3)+1=4))</f>
        <v>0</v>
      </c>
      <c r="E16" s="21" t="str">
        <f aca="false">IF(C16=0,"",D16/C16)</f>
        <v/>
      </c>
      <c r="F16" s="20" t="n">
        <f aca="false">SUMPRODUCT('P&amp;L Monthly'!$B$42:$M$42*(INT(('P&amp;L Monthly'!$B$3:$M$3-1)/3)+1=4))</f>
        <v>0</v>
      </c>
      <c r="G16" s="20" t="n">
        <f aca="false">SUMPRODUCT('P&amp;L Monthly'!$B$43:$M$43*(INT(('P&amp;L Monthly'!$B$3:$M$3-1)/3)+1=4))</f>
        <v>0</v>
      </c>
      <c r="H16" s="21" t="str">
        <f aca="false">IF(C16=0,"",G16/C16)</f>
        <v/>
      </c>
      <c r="I16" s="1"/>
      <c r="J16" s="22" t="str">
        <f aca="false">'P&amp;L Monthly'!A9</f>
        <v>Multi-process welders</v>
      </c>
      <c r="K16" s="22"/>
      <c r="L16" s="23" t="n">
        <f aca="false">'P&amp;L Monthly'!N9</f>
        <v>1042200</v>
      </c>
      <c r="M16" s="23" t="n">
        <f aca="false">'P&amp;L Monthly'!N23</f>
        <v>583800</v>
      </c>
      <c r="N16" s="24" t="n">
        <f aca="false">L16-M16</f>
        <v>458400</v>
      </c>
      <c r="O16" s="25" t="n">
        <f aca="false">IF(L16=0,"",N16/L16)</f>
        <v>0.439838802533103</v>
      </c>
      <c r="P16" s="25" t="n">
        <f aca="false">IF(SUM($L$13:$L$19)=0,"",L16/SUM($L$13:$L$19))</f>
        <v>0.150879478827362</v>
      </c>
      <c r="Q16" s="1"/>
      <c r="R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22" t="str">
        <f aca="false">'P&amp;L Monthly'!A10</f>
        <v>Plasma cutters</v>
      </c>
      <c r="K17" s="22"/>
      <c r="L17" s="23" t="n">
        <f aca="false">'P&amp;L Monthly'!N10</f>
        <v>1303100</v>
      </c>
      <c r="M17" s="23" t="n">
        <f aca="false">'P&amp;L Monthly'!N24</f>
        <v>742700</v>
      </c>
      <c r="N17" s="24" t="n">
        <f aca="false">L17-M17</f>
        <v>560400</v>
      </c>
      <c r="O17" s="25" t="n">
        <f aca="false">IF(L17=0,"",N17/L17)</f>
        <v>0.430051415854501</v>
      </c>
      <c r="P17" s="25" t="n">
        <f aca="false">IF(SUM($L$13:$L$19)=0,"",L17/SUM($L$13:$L$19))</f>
        <v>0.188650018096272</v>
      </c>
      <c r="Q17" s="1"/>
      <c r="R17" s="1"/>
      <c r="S17" s="1"/>
      <c r="T17" s="1"/>
    </row>
    <row r="18" customFormat="false" ht="15" hidden="false" customHeight="false" outlineLevel="0" collapsed="false">
      <c r="A18" s="1"/>
      <c r="B18" s="15" t="s">
        <v>27</v>
      </c>
      <c r="C18" s="1"/>
      <c r="D18" s="1"/>
      <c r="E18" s="1"/>
      <c r="F18" s="1"/>
      <c r="G18" s="1"/>
      <c r="H18" s="1"/>
      <c r="I18" s="1"/>
      <c r="J18" s="22" t="str">
        <f aca="false">'P&amp;L Monthly'!A11</f>
        <v>Accessories &amp; consumables</v>
      </c>
      <c r="K18" s="22"/>
      <c r="L18" s="23" t="n">
        <f aca="false">'P&amp;L Monthly'!N11</f>
        <v>738600</v>
      </c>
      <c r="M18" s="23" t="n">
        <f aca="false">'P&amp;L Monthly'!N25</f>
        <v>332400</v>
      </c>
      <c r="N18" s="24" t="n">
        <f aca="false">L18-M18</f>
        <v>406200</v>
      </c>
      <c r="O18" s="25" t="n">
        <f aca="false">IF(L18=0,"",N18/L18)</f>
        <v>0.54995938261576</v>
      </c>
      <c r="P18" s="25" t="n">
        <f aca="false">IF(SUM($L$13:$L$19)=0,"",L18/SUM($L$13:$L$19))</f>
        <v>0.106927252985885</v>
      </c>
      <c r="Q18" s="1"/>
      <c r="R18" s="1"/>
      <c r="S18" s="1"/>
      <c r="T18" s="1"/>
    </row>
    <row r="19" customFormat="false" ht="30" hidden="false" customHeight="true" outlineLevel="0" collapsed="false">
      <c r="A19" s="1"/>
      <c r="B19" s="18" t="s">
        <v>28</v>
      </c>
      <c r="C19" s="18"/>
      <c r="D19" s="17" t="s">
        <v>19</v>
      </c>
      <c r="E19" s="17" t="s">
        <v>22</v>
      </c>
      <c r="F19" s="1"/>
      <c r="G19" s="1"/>
      <c r="H19" s="1"/>
      <c r="I19" s="1"/>
      <c r="J19" s="22" t="str">
        <f aca="false">'P&amp;L Monthly'!A12</f>
        <v>Parts &amp; repairs</v>
      </c>
      <c r="K19" s="22"/>
      <c r="L19" s="23" t="n">
        <f aca="false">'P&amp;L Monthly'!N12</f>
        <v>217300</v>
      </c>
      <c r="M19" s="23" t="n">
        <f aca="false">'P&amp;L Monthly'!N26</f>
        <v>87000</v>
      </c>
      <c r="N19" s="24" t="n">
        <f aca="false">L19-M19</f>
        <v>130300</v>
      </c>
      <c r="O19" s="25" t="n">
        <f aca="false">IF(L19=0,"",N19/L19)</f>
        <v>0.599631845375058</v>
      </c>
      <c r="P19" s="25" t="n">
        <f aca="false">IF(SUM($L$13:$L$19)=0,"",L19/SUM($L$13:$L$19))</f>
        <v>0.0314585595367354</v>
      </c>
      <c r="Q19" s="1"/>
      <c r="R19" s="1"/>
      <c r="S19" s="1"/>
      <c r="T19" s="1"/>
    </row>
    <row r="20" customFormat="false" ht="15" hidden="false" customHeight="false" outlineLevel="0" collapsed="false">
      <c r="A20" s="1"/>
      <c r="B20" s="26" t="str">
        <f aca="false">Channels!A5</f>
        <v>Website store</v>
      </c>
      <c r="C20" s="26"/>
      <c r="D20" s="20" t="n">
        <f aca="false">Channels!N5</f>
        <v>2647700</v>
      </c>
      <c r="E20" s="21" t="n">
        <f aca="false">IF(SUM($D$20:$D$23)=0,"",D20/SUM($D$20:$D$23))</f>
        <v>0.383307998552298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26" t="str">
        <f aca="false">Channels!A6</f>
        <v>Amazon &amp; marketplaces</v>
      </c>
      <c r="C21" s="26"/>
      <c r="D21" s="20" t="n">
        <f aca="false">Channels!N6</f>
        <v>1863700</v>
      </c>
      <c r="E21" s="21" t="n">
        <f aca="false">IF(SUM($D$20:$D$23)=0,"",D21/SUM($D$20:$D$23))</f>
        <v>0.26980817951502</v>
      </c>
      <c r="F21" s="1"/>
      <c r="G21" s="1"/>
      <c r="H21" s="1"/>
      <c r="I21" s="1"/>
      <c r="J21" s="15" t="s">
        <v>29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26" t="str">
        <f aca="false">Channels!A7</f>
        <v>Dealers &amp; distributors</v>
      </c>
      <c r="C22" s="26"/>
      <c r="D22" s="20" t="n">
        <f aca="false">Channels!N7</f>
        <v>1912500</v>
      </c>
      <c r="E22" s="21" t="n">
        <f aca="false">IF(SUM($D$20:$D$23)=0,"",D22/SUM($D$20:$D$23))</f>
        <v>0.276872964169381</v>
      </c>
      <c r="F22" s="1"/>
      <c r="G22" s="1"/>
      <c r="H22" s="1"/>
      <c r="I22" s="1"/>
      <c r="J22" s="27" t="str">
        <f aca="false">"• Net revenue YTD is "&amp;TEXT('P&amp;L Monthly'!N17,"$#,##0")&amp;IF('Prior Year 2025'!N6=0,"",", "&amp;TEXT('P&amp;L Monthly'!N17/'Prior Year 2025'!N6-1,"+0.0%;-0.0%")&amp;" vs 2025.")</f>
        <v>• Net revenue YTD is $6,251,200, +11.4% vs 2025.</v>
      </c>
      <c r="K22" s="27"/>
      <c r="L22" s="27"/>
      <c r="M22" s="27"/>
      <c r="N22" s="27"/>
      <c r="O22" s="27"/>
      <c r="P22" s="27"/>
      <c r="Q22" s="1"/>
      <c r="R22" s="1"/>
      <c r="S22" s="1"/>
      <c r="T22" s="1"/>
    </row>
    <row r="23" customFormat="false" ht="15" hidden="false" customHeight="false" outlineLevel="0" collapsed="false">
      <c r="A23" s="1"/>
      <c r="B23" s="26" t="str">
        <f aca="false">Channels!A8</f>
        <v>Phone &amp; direct</v>
      </c>
      <c r="C23" s="26"/>
      <c r="D23" s="20" t="n">
        <f aca="false">Channels!N8</f>
        <v>483600</v>
      </c>
      <c r="E23" s="21" t="n">
        <f aca="false">IF(SUM($D$20:$D$23)=0,"",D23/SUM($D$20:$D$23))</f>
        <v>0.0700108577633008</v>
      </c>
      <c r="F23" s="1"/>
      <c r="G23" s="1"/>
      <c r="H23" s="1"/>
      <c r="I23" s="1"/>
      <c r="J23" s="27" t="str">
        <f aca="false">"• Highest-margin line: "&amp;INDEX($J$13:$J$19,MATCH(MAX($O$13:$O$19),$O$13:$O$19,0))&amp;" ("&amp;TEXT(MAX($O$13:$O$19),"0.0%")&amp;")."</f>
        <v>• Highest-margin line: Parts &amp; repairs (60.0%).</v>
      </c>
      <c r="K23" s="27"/>
      <c r="L23" s="27"/>
      <c r="M23" s="27"/>
      <c r="N23" s="27"/>
      <c r="O23" s="27"/>
      <c r="P23" s="27"/>
      <c r="Q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27" t="str">
        <f aca="false">"• Lowest-margin line: "&amp;INDEX($J$13:$J$19,MATCH(MIN($O$13:$O$19),$O$13:$O$19,0))&amp;" ("&amp;TEXT(MIN($O$13:$O$19),"0.0%")&amp;")."</f>
        <v>• Lowest-margin line: Stick welders (40.0%).</v>
      </c>
      <c r="K24" s="27"/>
      <c r="L24" s="27"/>
      <c r="M24" s="27"/>
      <c r="N24" s="27"/>
      <c r="O24" s="27"/>
      <c r="P24" s="27"/>
      <c r="Q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27" t="str">
        <f aca="false">"• Inventory lines to reorder: "&amp;COUNTIF(Inventory!F5:F11,"Reorder")&amp;"; overstocked: "&amp;COUNTIF(Inventory!F5:F11,"Overstock")&amp;"."</f>
        <v>• Inventory lines to reorder: 1; overstocked: 1.</v>
      </c>
      <c r="K25" s="27"/>
      <c r="L25" s="27"/>
      <c r="M25" s="27"/>
      <c r="N25" s="27"/>
      <c r="O25" s="27"/>
      <c r="P25" s="27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27" t="str">
        <f aca="false">"• "&amp;TEXT('AR Aging'!H13,"0.0%")&amp;" of dealer receivables are over 30 days."</f>
        <v>• 13.5% of dealer receivables are over 30 days.</v>
      </c>
      <c r="K26" s="27"/>
      <c r="L26" s="27"/>
      <c r="M26" s="27"/>
      <c r="N26" s="27"/>
      <c r="O26" s="27"/>
      <c r="P26" s="27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27" t="str">
        <f aca="false">"• Close took "&amp;INDEX('Close KPIs'!$B$5:$M$5,ReportMonth)&amp;" business days vs a "&amp;'Close KPIs'!B8&amp;"-day target."</f>
        <v>• Close took 9 business days vs a 10-day target.</v>
      </c>
      <c r="K27" s="27"/>
      <c r="L27" s="27"/>
      <c r="M27" s="27"/>
      <c r="N27" s="27"/>
      <c r="O27" s="27"/>
      <c r="P27" s="27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3.5" hidden="false" customHeight="true" outlineLevel="0" collapsed="false">
      <c r="A80" s="1"/>
      <c r="B80" s="28" t="s">
        <v>30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customFormat="false" ht="15" hidden="false" customHeight="false" outlineLevel="0" collapsed="false">
      <c r="A81" s="1"/>
      <c r="B81" s="29" t="s">
        <v>31</v>
      </c>
      <c r="C81" s="29" t="s">
        <v>32</v>
      </c>
      <c r="D81" s="29" t="s">
        <v>33</v>
      </c>
      <c r="E81" s="29" t="s">
        <v>34</v>
      </c>
      <c r="F81" s="29" t="s">
        <v>35</v>
      </c>
      <c r="G81" s="29" t="s">
        <v>36</v>
      </c>
      <c r="H81" s="29" t="s">
        <v>37</v>
      </c>
      <c r="I81" s="29" t="s">
        <v>38</v>
      </c>
      <c r="J81" s="29" t="s">
        <v>39</v>
      </c>
      <c r="K81" s="1"/>
      <c r="L81" s="1"/>
      <c r="M81" s="1"/>
      <c r="N81" s="1"/>
      <c r="O81" s="1"/>
      <c r="P81" s="1"/>
      <c r="Q81" s="1"/>
      <c r="R81" s="1"/>
      <c r="S81" s="1"/>
      <c r="T81" s="1"/>
    </row>
    <row r="82" customFormat="false" ht="15" hidden="false" customHeight="false" outlineLevel="0" collapsed="false">
      <c r="A82" s="1"/>
      <c r="B82" s="29" t="s">
        <v>40</v>
      </c>
      <c r="C82" s="30" t="n">
        <f aca="false">IF('P&amp;L Monthly'!B17=0,"",'P&amp;L Monthly'!B17)</f>
        <v>614300</v>
      </c>
      <c r="D82" s="30" t="n">
        <f aca="false">'Prior Year 2025'!B6</f>
        <v>550000</v>
      </c>
      <c r="E82" s="30" t="n">
        <f aca="false">N('Balance &amp; Cash'!B5)</f>
        <v>410000</v>
      </c>
      <c r="F82" s="30" t="n">
        <f aca="false">N('Balance &amp; Cash'!B6)</f>
        <v>218000</v>
      </c>
      <c r="G82" s="30" t="n">
        <f aca="false">N('Balance &amp; Cash'!B7)</f>
        <v>1420000</v>
      </c>
      <c r="H82" s="29" t="n">
        <f aca="false">N('Close KPIs'!B5)</f>
        <v>14</v>
      </c>
      <c r="I82" s="29" t="n">
        <f aca="false">'Close KPIs'!$B$8</f>
        <v>10</v>
      </c>
      <c r="J82" s="31" t="n">
        <f aca="false">IF('P&amp;L Monthly'!B17=0,"",'P&amp;L Monthly'!B31)</f>
        <v>0.3504802213902</v>
      </c>
      <c r="K82" s="1"/>
      <c r="L82" s="1"/>
      <c r="M82" s="1"/>
      <c r="N82" s="1"/>
      <c r="O82" s="1"/>
      <c r="P82" s="1"/>
      <c r="Q82" s="1"/>
      <c r="R82" s="1"/>
      <c r="S82" s="1"/>
      <c r="T82" s="1"/>
    </row>
    <row r="83" customFormat="false" ht="15" hidden="false" customHeight="false" outlineLevel="0" collapsed="false">
      <c r="A83" s="1"/>
      <c r="B83" s="29" t="s">
        <v>41</v>
      </c>
      <c r="C83" s="30" t="n">
        <f aca="false">IF('P&amp;L Monthly'!C17=0,"",'P&amp;L Monthly'!C17)</f>
        <v>649300</v>
      </c>
      <c r="D83" s="30" t="n">
        <f aca="false">'Prior Year 2025'!C6</f>
        <v>583000</v>
      </c>
      <c r="E83" s="30" t="n">
        <f aca="false">N('Balance &amp; Cash'!C5)</f>
        <v>385000</v>
      </c>
      <c r="F83" s="30" t="n">
        <f aca="false">N('Balance &amp; Cash'!C6)</f>
        <v>226000</v>
      </c>
      <c r="G83" s="30" t="n">
        <f aca="false">N('Balance &amp; Cash'!C7)</f>
        <v>1465000</v>
      </c>
      <c r="H83" s="29" t="n">
        <f aca="false">N('Close KPIs'!C5)</f>
        <v>13</v>
      </c>
      <c r="I83" s="29" t="n">
        <f aca="false">'Close KPIs'!$B$8</f>
        <v>10</v>
      </c>
      <c r="J83" s="31" t="n">
        <f aca="false">IF('P&amp;L Monthly'!C17=0,"",'P&amp;L Monthly'!C31)</f>
        <v>0.346219005082396</v>
      </c>
      <c r="K83" s="1"/>
      <c r="L83" s="1"/>
      <c r="M83" s="1"/>
      <c r="N83" s="1"/>
      <c r="O83" s="1"/>
      <c r="P83" s="1"/>
      <c r="Q83" s="1"/>
      <c r="R83" s="1"/>
      <c r="S83" s="1"/>
      <c r="T83" s="1"/>
    </row>
    <row r="84" customFormat="false" ht="15" hidden="false" customHeight="false" outlineLevel="0" collapsed="false">
      <c r="A84" s="1"/>
      <c r="B84" s="29" t="s">
        <v>42</v>
      </c>
      <c r="C84" s="30" t="n">
        <f aca="false">IF('P&amp;L Monthly'!D17=0,"",'P&amp;L Monthly'!D17)</f>
        <v>716400</v>
      </c>
      <c r="D84" s="30" t="n">
        <f aca="false">'Prior Year 2025'!D6</f>
        <v>648000</v>
      </c>
      <c r="E84" s="30" t="n">
        <f aca="false">N('Balance &amp; Cash'!D5)</f>
        <v>362000</v>
      </c>
      <c r="F84" s="30" t="n">
        <f aca="false">N('Balance &amp; Cash'!D6)</f>
        <v>241000</v>
      </c>
      <c r="G84" s="30" t="n">
        <f aca="false">N('Balance &amp; Cash'!D7)</f>
        <v>1510000</v>
      </c>
      <c r="H84" s="29" t="n">
        <f aca="false">N('Close KPIs'!D5)</f>
        <v>12</v>
      </c>
      <c r="I84" s="29" t="n">
        <f aca="false">'Close KPIs'!$B$8</f>
        <v>10</v>
      </c>
      <c r="J84" s="31" t="n">
        <f aca="false">IF('P&amp;L Monthly'!D17=0,"",'P&amp;L Monthly'!D31)</f>
        <v>0.348408710217755</v>
      </c>
      <c r="K84" s="1"/>
      <c r="L84" s="1"/>
      <c r="M84" s="1"/>
      <c r="N84" s="1"/>
      <c r="O84" s="1"/>
      <c r="P84" s="1"/>
      <c r="Q84" s="1"/>
      <c r="R84" s="1"/>
      <c r="S84" s="1"/>
      <c r="T84" s="1"/>
    </row>
    <row r="85" customFormat="false" ht="15" hidden="false" customHeight="false" outlineLevel="0" collapsed="false">
      <c r="A85" s="1"/>
      <c r="B85" s="29" t="s">
        <v>43</v>
      </c>
      <c r="C85" s="30" t="n">
        <f aca="false">IF('P&amp;L Monthly'!E17=0,"",'P&amp;L Monthly'!E17)</f>
        <v>755300</v>
      </c>
      <c r="D85" s="30" t="n">
        <f aca="false">'Prior Year 2025'!E6</f>
        <v>680000</v>
      </c>
      <c r="E85" s="30" t="n">
        <f aca="false">N('Balance &amp; Cash'!E5)</f>
        <v>398000</v>
      </c>
      <c r="F85" s="30" t="n">
        <f aca="false">N('Balance &amp; Cash'!E6)</f>
        <v>252000</v>
      </c>
      <c r="G85" s="30" t="n">
        <f aca="false">N('Balance &amp; Cash'!E7)</f>
        <v>1480000</v>
      </c>
      <c r="H85" s="29" t="n">
        <f aca="false">N('Close KPIs'!E5)</f>
        <v>12</v>
      </c>
      <c r="I85" s="29" t="n">
        <f aca="false">'Close KPIs'!$B$8</f>
        <v>10</v>
      </c>
      <c r="J85" s="31" t="n">
        <f aca="false">IF('P&amp;L Monthly'!E17=0,"",'P&amp;L Monthly'!E31)</f>
        <v>0.35032437442076</v>
      </c>
      <c r="K85" s="1"/>
      <c r="L85" s="1"/>
      <c r="M85" s="1"/>
      <c r="N85" s="1"/>
      <c r="O85" s="1"/>
      <c r="P85" s="1"/>
      <c r="Q85" s="1"/>
      <c r="R85" s="1"/>
      <c r="S85" s="1"/>
      <c r="T85" s="1"/>
    </row>
    <row r="86" customFormat="false" ht="15" hidden="false" customHeight="false" outlineLevel="0" collapsed="false">
      <c r="A86" s="1"/>
      <c r="B86" s="29" t="s">
        <v>44</v>
      </c>
      <c r="C86" s="30" t="n">
        <f aca="false">IF('P&amp;L Monthly'!F17=0,"",'P&amp;L Monthly'!F17)</f>
        <v>723800</v>
      </c>
      <c r="D86" s="30" t="n">
        <f aca="false">'Prior Year 2025'!F6</f>
        <v>648000</v>
      </c>
      <c r="E86" s="30" t="n">
        <f aca="false">N('Balance &amp; Cash'!F5)</f>
        <v>421000</v>
      </c>
      <c r="F86" s="30" t="n">
        <f aca="false">N('Balance &amp; Cash'!F6)</f>
        <v>247000</v>
      </c>
      <c r="G86" s="30" t="n">
        <f aca="false">N('Balance &amp; Cash'!F7)</f>
        <v>1455000</v>
      </c>
      <c r="H86" s="29" t="n">
        <f aca="false">N('Close KPIs'!F5)</f>
        <v>11</v>
      </c>
      <c r="I86" s="29" t="n">
        <f aca="false">'Close KPIs'!$B$8</f>
        <v>10</v>
      </c>
      <c r="J86" s="31" t="n">
        <f aca="false">IF('P&amp;L Monthly'!F17=0,"",'P&amp;L Monthly'!F31)</f>
        <v>0.347057198121028</v>
      </c>
      <c r="K86" s="1"/>
      <c r="L86" s="1"/>
      <c r="M86" s="1"/>
      <c r="N86" s="1"/>
      <c r="O86" s="1"/>
      <c r="P86" s="1"/>
      <c r="Q86" s="1"/>
      <c r="R86" s="1"/>
      <c r="S86" s="1"/>
      <c r="T86" s="1"/>
    </row>
    <row r="87" customFormat="false" ht="15" hidden="false" customHeight="false" outlineLevel="0" collapsed="false">
      <c r="A87" s="1"/>
      <c r="B87" s="29" t="s">
        <v>45</v>
      </c>
      <c r="C87" s="30" t="n">
        <f aca="false">IF('P&amp;L Monthly'!G17=0,"",'P&amp;L Monthly'!G17)</f>
        <v>688000</v>
      </c>
      <c r="D87" s="30" t="n">
        <f aca="false">'Prior Year 2025'!G6</f>
        <v>615000</v>
      </c>
      <c r="E87" s="30" t="n">
        <f aca="false">N('Balance &amp; Cash'!G5)</f>
        <v>404000</v>
      </c>
      <c r="F87" s="30" t="n">
        <f aca="false">N('Balance &amp; Cash'!G6)</f>
        <v>236000</v>
      </c>
      <c r="G87" s="30" t="n">
        <f aca="false">N('Balance &amp; Cash'!G7)</f>
        <v>1490000</v>
      </c>
      <c r="H87" s="29" t="n">
        <f aca="false">N('Close KPIs'!G5)</f>
        <v>11</v>
      </c>
      <c r="I87" s="29" t="n">
        <f aca="false">'Close KPIs'!$B$8</f>
        <v>10</v>
      </c>
      <c r="J87" s="31" t="n">
        <f aca="false">IF('P&amp;L Monthly'!G17=0,"",'P&amp;L Monthly'!G31)</f>
        <v>0.34781976744186</v>
      </c>
      <c r="K87" s="1"/>
      <c r="L87" s="1"/>
      <c r="M87" s="1"/>
      <c r="N87" s="1"/>
      <c r="O87" s="1"/>
      <c r="P87" s="1"/>
      <c r="Q87" s="1"/>
      <c r="R87" s="1"/>
      <c r="S87" s="1"/>
      <c r="T87" s="1"/>
    </row>
    <row r="88" customFormat="false" ht="15" hidden="false" customHeight="false" outlineLevel="0" collapsed="false">
      <c r="A88" s="1"/>
      <c r="B88" s="29" t="s">
        <v>46</v>
      </c>
      <c r="C88" s="30" t="n">
        <f aca="false">IF('P&amp;L Monthly'!H17=0,"",'P&amp;L Monthly'!H17)</f>
        <v>658700</v>
      </c>
      <c r="D88" s="30" t="n">
        <f aca="false">'Prior Year 2025'!H6</f>
        <v>595000</v>
      </c>
      <c r="E88" s="30" t="n">
        <f aca="false">N('Balance &amp; Cash'!H5)</f>
        <v>377000</v>
      </c>
      <c r="F88" s="30" t="n">
        <f aca="false">N('Balance &amp; Cash'!H6)</f>
        <v>229000</v>
      </c>
      <c r="G88" s="30" t="n">
        <f aca="false">N('Balance &amp; Cash'!H7)</f>
        <v>1560000</v>
      </c>
      <c r="H88" s="29" t="n">
        <f aca="false">N('Close KPIs'!H5)</f>
        <v>10</v>
      </c>
      <c r="I88" s="29" t="n">
        <f aca="false">'Close KPIs'!$B$8</f>
        <v>10</v>
      </c>
      <c r="J88" s="31" t="n">
        <f aca="false">IF('P&amp;L Monthly'!H17=0,"",'P&amp;L Monthly'!H31)</f>
        <v>0.350083497798694</v>
      </c>
      <c r="K88" s="1"/>
      <c r="L88" s="1"/>
      <c r="M88" s="1"/>
      <c r="N88" s="1"/>
      <c r="O88" s="1"/>
      <c r="P88" s="1"/>
      <c r="Q88" s="1"/>
      <c r="R88" s="1"/>
      <c r="S88" s="1"/>
      <c r="T88" s="1"/>
    </row>
    <row r="89" customFormat="false" ht="15" hidden="false" customHeight="false" outlineLevel="0" collapsed="false">
      <c r="A89" s="1"/>
      <c r="B89" s="29" t="s">
        <v>47</v>
      </c>
      <c r="C89" s="30" t="n">
        <f aca="false">IF('P&amp;L Monthly'!I17=0,"",'P&amp;L Monthly'!I17)</f>
        <v>700600</v>
      </c>
      <c r="D89" s="30" t="n">
        <f aca="false">'Prior Year 2025'!I6</f>
        <v>628000</v>
      </c>
      <c r="E89" s="30" t="n">
        <f aca="false">N('Balance &amp; Cash'!I5)</f>
        <v>352000</v>
      </c>
      <c r="F89" s="30" t="n">
        <f aca="false">N('Balance &amp; Cash'!I6)</f>
        <v>244000</v>
      </c>
      <c r="G89" s="30" t="n">
        <f aca="false">N('Balance &amp; Cash'!I7)</f>
        <v>1640000</v>
      </c>
      <c r="H89" s="29" t="n">
        <f aca="false">N('Close KPIs'!I5)</f>
        <v>10</v>
      </c>
      <c r="I89" s="29" t="n">
        <f aca="false">'Close KPIs'!$B$8</f>
        <v>10</v>
      </c>
      <c r="J89" s="31" t="n">
        <f aca="false">IF('P&amp;L Monthly'!I17=0,"",'P&amp;L Monthly'!I31)</f>
        <v>0.347131030545247</v>
      </c>
      <c r="K89" s="1"/>
      <c r="L89" s="1"/>
      <c r="M89" s="1"/>
      <c r="N89" s="1"/>
      <c r="O89" s="1"/>
      <c r="P89" s="1"/>
      <c r="Q89" s="1"/>
      <c r="R89" s="1"/>
      <c r="S89" s="1"/>
      <c r="T89" s="1"/>
    </row>
    <row r="90" customFormat="false" ht="15" hidden="false" customHeight="false" outlineLevel="0" collapsed="false">
      <c r="A90" s="1"/>
      <c r="B90" s="29" t="s">
        <v>48</v>
      </c>
      <c r="C90" s="30" t="n">
        <f aca="false">IF('P&amp;L Monthly'!J17=0,"",'P&amp;L Monthly'!J17)</f>
        <v>744800</v>
      </c>
      <c r="D90" s="30" t="n">
        <f aca="false">'Prior Year 2025'!J6</f>
        <v>667000</v>
      </c>
      <c r="E90" s="30" t="n">
        <f aca="false">N('Balance &amp; Cash'!J5)</f>
        <v>368000</v>
      </c>
      <c r="F90" s="30" t="n">
        <f aca="false">N('Balance &amp; Cash'!J6)</f>
        <v>261000</v>
      </c>
      <c r="G90" s="30" t="n">
        <f aca="false">N('Balance &amp; Cash'!J7)</f>
        <v>1715000</v>
      </c>
      <c r="H90" s="29" t="n">
        <f aca="false">N('Close KPIs'!J5)</f>
        <v>9</v>
      </c>
      <c r="I90" s="29" t="n">
        <f aca="false">'Close KPIs'!$B$8</f>
        <v>10</v>
      </c>
      <c r="J90" s="31" t="n">
        <f aca="false">IF('P&amp;L Monthly'!J17=0,"",'P&amp;L Monthly'!J31)</f>
        <v>0.348012889366273</v>
      </c>
      <c r="K90" s="1"/>
      <c r="L90" s="1"/>
      <c r="M90" s="1"/>
      <c r="N90" s="1"/>
      <c r="O90" s="1"/>
      <c r="P90" s="1"/>
      <c r="Q90" s="1"/>
      <c r="R90" s="1"/>
      <c r="S90" s="1"/>
      <c r="T90" s="1"/>
    </row>
    <row r="91" customFormat="false" ht="15" hidden="false" customHeight="false" outlineLevel="0" collapsed="false">
      <c r="A91" s="1"/>
      <c r="B91" s="29" t="s">
        <v>49</v>
      </c>
      <c r="C91" s="30" t="str">
        <f aca="false">IF('P&amp;L Monthly'!K17=0,"",'P&amp;L Monthly'!K17)</f>
        <v/>
      </c>
      <c r="D91" s="30" t="n">
        <f aca="false">'Prior Year 2025'!K6</f>
        <v>712000</v>
      </c>
      <c r="E91" s="30" t="n">
        <f aca="false">N('Balance &amp; Cash'!K5)</f>
        <v>0</v>
      </c>
      <c r="F91" s="30" t="n">
        <f aca="false">N('Balance &amp; Cash'!K6)</f>
        <v>0</v>
      </c>
      <c r="G91" s="30" t="n">
        <f aca="false">N('Balance &amp; Cash'!K7)</f>
        <v>0</v>
      </c>
      <c r="H91" s="29" t="n">
        <f aca="false">N('Close KPIs'!K5)</f>
        <v>0</v>
      </c>
      <c r="I91" s="29" t="n">
        <f aca="false">'Close KPIs'!$B$8</f>
        <v>10</v>
      </c>
      <c r="J91" s="31" t="str">
        <f aca="false">IF('P&amp;L Monthly'!K17=0,"",'P&amp;L Monthly'!K31)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</row>
    <row r="92" customFormat="false" ht="15" hidden="false" customHeight="false" outlineLevel="0" collapsed="false">
      <c r="A92" s="1"/>
      <c r="B92" s="29" t="s">
        <v>50</v>
      </c>
      <c r="C92" s="30" t="str">
        <f aca="false">IF('P&amp;L Monthly'!L17=0,"",'P&amp;L Monthly'!L17)</f>
        <v/>
      </c>
      <c r="D92" s="30" t="n">
        <f aca="false">'Prior Year 2025'!L6</f>
        <v>790000</v>
      </c>
      <c r="E92" s="30" t="n">
        <f aca="false">N('Balance &amp; Cash'!L5)</f>
        <v>0</v>
      </c>
      <c r="F92" s="30" t="n">
        <f aca="false">N('Balance &amp; Cash'!L6)</f>
        <v>0</v>
      </c>
      <c r="G92" s="30" t="n">
        <f aca="false">N('Balance &amp; Cash'!L7)</f>
        <v>0</v>
      </c>
      <c r="H92" s="29" t="n">
        <f aca="false">N('Close KPIs'!L5)</f>
        <v>0</v>
      </c>
      <c r="I92" s="29" t="n">
        <f aca="false">'Close KPIs'!$B$8</f>
        <v>10</v>
      </c>
      <c r="J92" s="31" t="str">
        <f aca="false">IF('P&amp;L Monthly'!L17=0,"",'P&amp;L Monthly'!L31)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</row>
    <row r="93" customFormat="false" ht="15" hidden="false" customHeight="false" outlineLevel="0" collapsed="false">
      <c r="A93" s="1"/>
      <c r="B93" s="29" t="s">
        <v>51</v>
      </c>
      <c r="C93" s="30" t="str">
        <f aca="false">IF('P&amp;L Monthly'!M17=0,"",'P&amp;L Monthly'!M17)</f>
        <v/>
      </c>
      <c r="D93" s="30" t="n">
        <f aca="false">'Prior Year 2025'!M6</f>
        <v>874000</v>
      </c>
      <c r="E93" s="30" t="n">
        <f aca="false">N('Balance &amp; Cash'!M5)</f>
        <v>0</v>
      </c>
      <c r="F93" s="30" t="n">
        <f aca="false">N('Balance &amp; Cash'!M6)</f>
        <v>0</v>
      </c>
      <c r="G93" s="30" t="n">
        <f aca="false">N('Balance &amp; Cash'!M7)</f>
        <v>0</v>
      </c>
      <c r="H93" s="29" t="n">
        <f aca="false">N('Close KPIs'!M5)</f>
        <v>0</v>
      </c>
      <c r="I93" s="29" t="n">
        <f aca="false">'Close KPIs'!$B$8</f>
        <v>10</v>
      </c>
      <c r="J93" s="31" t="str">
        <f aca="false">IF('P&amp;L Monthly'!M17=0,"",'P&amp;L Monthly'!M31)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</row>
    <row r="94" customFormat="false" ht="15" hidden="false" customHeight="false" outlineLevel="0" collapsed="false">
      <c r="A94" s="1"/>
      <c r="B94" s="29"/>
      <c r="C94" s="30"/>
      <c r="D94" s="30"/>
      <c r="E94" s="30"/>
      <c r="F94" s="30"/>
      <c r="G94" s="30"/>
      <c r="H94" s="29"/>
      <c r="I94" s="29"/>
      <c r="J94" s="3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customFormat="false" ht="15" hidden="false" customHeight="false" outlineLevel="0" collapsed="false">
      <c r="A95" s="1"/>
      <c r="B95" s="29" t="s">
        <v>52</v>
      </c>
      <c r="C95" s="30" t="s">
        <v>53</v>
      </c>
      <c r="D95" s="30"/>
      <c r="E95" s="30"/>
      <c r="F95" s="30"/>
      <c r="G95" s="30"/>
      <c r="H95" s="29"/>
      <c r="I95" s="29"/>
      <c r="J95" s="3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customFormat="false" ht="15" hidden="false" customHeight="false" outlineLevel="0" collapsed="false">
      <c r="A96" s="1"/>
      <c r="B96" s="29" t="s">
        <v>54</v>
      </c>
      <c r="C96" s="30" t="n">
        <f aca="false">'AR Aging'!B13</f>
        <v>165000</v>
      </c>
      <c r="D96" s="30"/>
      <c r="E96" s="30"/>
      <c r="F96" s="30"/>
      <c r="G96" s="30"/>
      <c r="H96" s="29"/>
      <c r="I96" s="29"/>
      <c r="J96" s="3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customFormat="false" ht="15" hidden="false" customHeight="false" outlineLevel="0" collapsed="false">
      <c r="A97" s="1"/>
      <c r="B97" s="29" t="s">
        <v>55</v>
      </c>
      <c r="C97" s="30" t="n">
        <f aca="false">'AR Aging'!C13</f>
        <v>57500</v>
      </c>
      <c r="D97" s="30"/>
      <c r="E97" s="30"/>
      <c r="F97" s="30"/>
      <c r="G97" s="30"/>
      <c r="H97" s="29"/>
      <c r="I97" s="29"/>
      <c r="J97" s="3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customFormat="false" ht="15" hidden="false" customHeight="false" outlineLevel="0" collapsed="false">
      <c r="A98" s="1"/>
      <c r="B98" s="29" t="s">
        <v>56</v>
      </c>
      <c r="C98" s="30" t="n">
        <f aca="false">'AR Aging'!D13</f>
        <v>22400</v>
      </c>
      <c r="D98" s="30"/>
      <c r="E98" s="30"/>
      <c r="F98" s="30"/>
      <c r="G98" s="30"/>
      <c r="H98" s="29"/>
      <c r="I98" s="29"/>
      <c r="J98" s="3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customFormat="false" ht="15" hidden="false" customHeight="false" outlineLevel="0" collapsed="false">
      <c r="A99" s="1"/>
      <c r="B99" s="29" t="s">
        <v>57</v>
      </c>
      <c r="C99" s="30" t="n">
        <f aca="false">'AR Aging'!E13</f>
        <v>6900</v>
      </c>
      <c r="D99" s="30"/>
      <c r="E99" s="30"/>
      <c r="F99" s="30"/>
      <c r="G99" s="30"/>
      <c r="H99" s="29"/>
      <c r="I99" s="29"/>
      <c r="J99" s="3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customFormat="false" ht="15" hidden="false" customHeight="false" outlineLevel="0" collapsed="false">
      <c r="A100" s="1"/>
      <c r="B100" s="29" t="s">
        <v>58</v>
      </c>
      <c r="C100" s="30" t="n">
        <f aca="false">'AR Aging'!F13</f>
        <v>5500</v>
      </c>
      <c r="D100" s="30"/>
      <c r="E100" s="30"/>
      <c r="F100" s="30"/>
      <c r="G100" s="30"/>
      <c r="H100" s="29"/>
      <c r="I100" s="29"/>
      <c r="J100" s="3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</sheetData>
  <mergeCells count="39">
    <mergeCell ref="B1:S1"/>
    <mergeCell ref="B2:S2"/>
    <mergeCell ref="B6:D6"/>
    <mergeCell ref="E6:G6"/>
    <mergeCell ref="H6:J6"/>
    <mergeCell ref="K6:M6"/>
    <mergeCell ref="N6:P6"/>
    <mergeCell ref="Q6:S6"/>
    <mergeCell ref="B7:D8"/>
    <mergeCell ref="E7:G8"/>
    <mergeCell ref="H7:J8"/>
    <mergeCell ref="K7:M8"/>
    <mergeCell ref="N7:P8"/>
    <mergeCell ref="Q7:S8"/>
    <mergeCell ref="B9:D9"/>
    <mergeCell ref="E9:G9"/>
    <mergeCell ref="H9:J9"/>
    <mergeCell ref="K9:M9"/>
    <mergeCell ref="N9:P9"/>
    <mergeCell ref="Q9:S9"/>
    <mergeCell ref="J12:K12"/>
    <mergeCell ref="J13:K13"/>
    <mergeCell ref="J14:K14"/>
    <mergeCell ref="J15:K15"/>
    <mergeCell ref="J16:K16"/>
    <mergeCell ref="J17:K17"/>
    <mergeCell ref="J18:K18"/>
    <mergeCell ref="B19:C19"/>
    <mergeCell ref="J19:K19"/>
    <mergeCell ref="B20:C20"/>
    <mergeCell ref="B21:C21"/>
    <mergeCell ref="B22:C22"/>
    <mergeCell ref="J22:P22"/>
    <mergeCell ref="B23:C23"/>
    <mergeCell ref="J23:P23"/>
    <mergeCell ref="J24:P24"/>
    <mergeCell ref="J25:P25"/>
    <mergeCell ref="J26:P26"/>
    <mergeCell ref="J27:P27"/>
  </mergeCells>
  <conditionalFormatting sqref="O13:O19">
    <cfRule type="expression" priority="2" aboveAverage="0" equalAverage="0" bottom="0" percent="0" rank="0" text="" dxfId="0">
      <formula>AND(ISNUMBER(O13),O13=MAX($O$13:$O$19))</formula>
    </cfRule>
    <cfRule type="expression" priority="3" aboveAverage="0" equalAverage="0" bottom="0" percent="0" rank="0" text="" dxfId="1">
      <formula>AND(ISNUMBER(O13),O13=MIN($O$13:$O$19))</formula>
    </cfRule>
  </conditionalFormatting>
  <dataValidations count="1">
    <dataValidation allowBlank="false" errorStyle="stop" operator="between" showDropDown="false" showErrorMessage="false" showInputMessage="false" sqref="C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32" t="s">
        <v>59</v>
      </c>
    </row>
    <row r="2" customFormat="false" ht="15" hidden="false" customHeight="false" outlineLevel="0" collapsed="false">
      <c r="A2" s="33" t="s">
        <v>60</v>
      </c>
    </row>
    <row r="4" customFormat="false" ht="30" hidden="false" customHeight="true" outlineLevel="0" collapsed="false">
      <c r="B4" s="34" t="s">
        <v>61</v>
      </c>
      <c r="C4" s="35" t="s">
        <v>62</v>
      </c>
    </row>
    <row r="5" customFormat="false" ht="18" hidden="false" customHeight="true" outlineLevel="0" collapsed="false">
      <c r="B5" s="36" t="s">
        <v>63</v>
      </c>
      <c r="C5" s="35" t="s">
        <v>64</v>
      </c>
    </row>
    <row r="6" customFormat="false" ht="18" hidden="false" customHeight="true" outlineLevel="0" collapsed="false">
      <c r="B6" s="37" t="s">
        <v>65</v>
      </c>
      <c r="C6" s="35" t="s">
        <v>66</v>
      </c>
    </row>
    <row r="7" customFormat="false" ht="18" hidden="false" customHeight="true" outlineLevel="0" collapsed="false">
      <c r="B7" s="38" t="s">
        <v>67</v>
      </c>
      <c r="C7" s="35" t="s">
        <v>68</v>
      </c>
    </row>
    <row r="8" customFormat="false" ht="18" hidden="false" customHeight="true" outlineLevel="0" collapsed="false">
      <c r="B8" s="34" t="s">
        <v>69</v>
      </c>
      <c r="C8" s="35" t="s">
        <v>70</v>
      </c>
    </row>
    <row r="9" customFormat="false" ht="60" hidden="false" customHeight="true" outlineLevel="0" collapsed="false">
      <c r="B9" s="34" t="s">
        <v>71</v>
      </c>
      <c r="C9" s="35" t="s">
        <v>72</v>
      </c>
    </row>
    <row r="10" customFormat="false" ht="30" hidden="false" customHeight="true" outlineLevel="0" collapsed="false">
      <c r="B10" s="34" t="s">
        <v>73</v>
      </c>
      <c r="C10" s="35" t="s">
        <v>74</v>
      </c>
    </row>
    <row r="11" customFormat="false" ht="60" hidden="false" customHeight="true" outlineLevel="0" collapsed="false">
      <c r="B11" s="34" t="s">
        <v>75</v>
      </c>
      <c r="C11" s="35" t="s">
        <v>76</v>
      </c>
    </row>
    <row r="12" customFormat="false" ht="30" hidden="false" customHeight="true" outlineLevel="0" collapsed="false">
      <c r="B12" s="34" t="s">
        <v>77</v>
      </c>
      <c r="C12" s="35" t="s">
        <v>78</v>
      </c>
    </row>
    <row r="13" customFormat="false" ht="30" hidden="false" customHeight="true" outlineLevel="0" collapsed="false">
      <c r="B13" s="34" t="s">
        <v>79</v>
      </c>
      <c r="C13" s="3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3"/>
    <col collapsed="false" customWidth="true" hidden="false" outlineLevel="0" max="14" min="14" style="0" width="18"/>
    <col collapsed="false" customWidth="true" hidden="false" outlineLevel="0" max="15" min="15" style="0" width="14"/>
  </cols>
  <sheetData>
    <row r="1" customFormat="false" ht="19.7" hidden="false" customHeight="false" outlineLevel="0" collapsed="false">
      <c r="A1" s="32" t="s">
        <v>81</v>
      </c>
    </row>
    <row r="2" customFormat="false" ht="15" hidden="false" customHeight="false" outlineLevel="0" collapsed="false">
      <c r="A2" s="33" t="s">
        <v>82</v>
      </c>
    </row>
    <row r="3" customFormat="false" ht="15" hidden="false" customHeight="false" outlineLevel="0" collapsed="false">
      <c r="A3" s="39" t="s">
        <v>83</v>
      </c>
      <c r="B3" s="39" t="n">
        <v>1</v>
      </c>
      <c r="C3" s="39" t="n">
        <v>2</v>
      </c>
      <c r="D3" s="39" t="n">
        <v>3</v>
      </c>
      <c r="E3" s="39" t="n">
        <v>4</v>
      </c>
      <c r="F3" s="39" t="n">
        <v>5</v>
      </c>
      <c r="G3" s="39" t="n">
        <v>6</v>
      </c>
      <c r="H3" s="39" t="n">
        <v>7</v>
      </c>
      <c r="I3" s="39" t="n">
        <v>8</v>
      </c>
      <c r="J3" s="39" t="n">
        <v>9</v>
      </c>
      <c r="K3" s="39" t="n">
        <v>10</v>
      </c>
      <c r="L3" s="39" t="n">
        <v>11</v>
      </c>
      <c r="M3" s="39" t="n">
        <v>12</v>
      </c>
    </row>
    <row r="4" customFormat="false" ht="30" hidden="false" customHeight="true" outlineLevel="0" collapsed="false">
      <c r="A4" s="16" t="s">
        <v>84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  <c r="H4" s="17" t="s">
        <v>91</v>
      </c>
      <c r="I4" s="17" t="s">
        <v>92</v>
      </c>
      <c r="J4" s="17" t="s">
        <v>93</v>
      </c>
      <c r="K4" s="17" t="s">
        <v>94</v>
      </c>
      <c r="L4" s="17" t="s">
        <v>95</v>
      </c>
      <c r="M4" s="17" t="s">
        <v>96</v>
      </c>
      <c r="N4" s="17" t="s">
        <v>97</v>
      </c>
      <c r="O4" s="17" t="s">
        <v>98</v>
      </c>
    </row>
    <row r="5" customFormat="false" ht="15" hidden="false" customHeight="false" outlineLevel="0" collapsed="false">
      <c r="A5" s="40" t="s">
        <v>99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customFormat="false" ht="15" hidden="false" customHeight="false" outlineLevel="0" collapsed="false">
      <c r="A6" s="42" t="s">
        <v>100</v>
      </c>
      <c r="B6" s="43" t="n">
        <v>178500</v>
      </c>
      <c r="C6" s="43" t="n">
        <v>192800</v>
      </c>
      <c r="D6" s="43" t="n">
        <v>205800</v>
      </c>
      <c r="E6" s="43" t="n">
        <v>222700</v>
      </c>
      <c r="F6" s="43" t="n">
        <v>207900</v>
      </c>
      <c r="G6" s="43" t="n">
        <v>205500</v>
      </c>
      <c r="H6" s="43" t="n">
        <v>187400</v>
      </c>
      <c r="I6" s="43" t="n">
        <v>203700</v>
      </c>
      <c r="J6" s="43" t="n">
        <v>220600</v>
      </c>
      <c r="K6" s="44"/>
      <c r="L6" s="44"/>
      <c r="M6" s="44"/>
      <c r="N6" s="44" t="n">
        <f aca="false">SUMPRODUCT($B6:$M6*($B$3:$M$3&lt;=ReportMonth))</f>
        <v>1824900</v>
      </c>
      <c r="O6" s="44" t="n">
        <f aca="false">SUM(B6:M6)</f>
        <v>1824900</v>
      </c>
    </row>
    <row r="7" customFormat="false" ht="15" hidden="false" customHeight="false" outlineLevel="0" collapsed="false">
      <c r="A7" s="42" t="s">
        <v>101</v>
      </c>
      <c r="B7" s="43" t="n">
        <v>138700</v>
      </c>
      <c r="C7" s="43" t="n">
        <v>141100</v>
      </c>
      <c r="D7" s="43" t="n">
        <v>161600</v>
      </c>
      <c r="E7" s="43" t="n">
        <v>166300</v>
      </c>
      <c r="F7" s="43" t="n">
        <v>164800</v>
      </c>
      <c r="G7" s="43" t="n">
        <v>147400</v>
      </c>
      <c r="H7" s="43" t="n">
        <v>147200</v>
      </c>
      <c r="I7" s="43" t="n">
        <v>158300</v>
      </c>
      <c r="J7" s="43" t="n">
        <v>164800</v>
      </c>
      <c r="K7" s="44"/>
      <c r="L7" s="44"/>
      <c r="M7" s="44"/>
      <c r="N7" s="44" t="n">
        <f aca="false">SUMPRODUCT($B7:$M7*($B$3:$M$3&lt;=ReportMonth))</f>
        <v>1390200</v>
      </c>
      <c r="O7" s="44" t="n">
        <f aca="false">SUM(B7:M7)</f>
        <v>1390200</v>
      </c>
    </row>
    <row r="8" customFormat="false" ht="15" hidden="false" customHeight="false" outlineLevel="0" collapsed="false">
      <c r="A8" s="42" t="s">
        <v>102</v>
      </c>
      <c r="B8" s="43" t="n">
        <v>37500</v>
      </c>
      <c r="C8" s="43" t="n">
        <v>40900</v>
      </c>
      <c r="D8" s="43" t="n">
        <v>44600</v>
      </c>
      <c r="E8" s="43" t="n">
        <v>48700</v>
      </c>
      <c r="F8" s="43" t="n">
        <v>43600</v>
      </c>
      <c r="G8" s="43" t="n">
        <v>42800</v>
      </c>
      <c r="H8" s="43" t="n">
        <v>42200</v>
      </c>
      <c r="I8" s="43" t="n">
        <v>43600</v>
      </c>
      <c r="J8" s="43" t="n">
        <v>47300</v>
      </c>
      <c r="K8" s="44"/>
      <c r="L8" s="44"/>
      <c r="M8" s="44"/>
      <c r="N8" s="44" t="n">
        <f aca="false">SUMPRODUCT($B8:$M8*($B$3:$M$3&lt;=ReportMonth))</f>
        <v>391200</v>
      </c>
      <c r="O8" s="44" t="n">
        <f aca="false">SUM(B8:M8)</f>
        <v>391200</v>
      </c>
    </row>
    <row r="9" customFormat="false" ht="15" hidden="false" customHeight="false" outlineLevel="0" collapsed="false">
      <c r="A9" s="42" t="s">
        <v>103</v>
      </c>
      <c r="B9" s="43" t="n">
        <v>103000</v>
      </c>
      <c r="C9" s="43" t="n">
        <v>106900</v>
      </c>
      <c r="D9" s="43" t="n">
        <v>123600</v>
      </c>
      <c r="E9" s="43" t="n">
        <v>122200</v>
      </c>
      <c r="F9" s="43" t="n">
        <v>120000</v>
      </c>
      <c r="G9" s="43" t="n">
        <v>116300</v>
      </c>
      <c r="H9" s="43" t="n">
        <v>110400</v>
      </c>
      <c r="I9" s="43" t="n">
        <v>118700</v>
      </c>
      <c r="J9" s="43" t="n">
        <v>121100</v>
      </c>
      <c r="K9" s="44"/>
      <c r="L9" s="44"/>
      <c r="M9" s="44"/>
      <c r="N9" s="44" t="n">
        <f aca="false">SUMPRODUCT($B9:$M9*($B$3:$M$3&lt;=ReportMonth))</f>
        <v>1042200</v>
      </c>
      <c r="O9" s="44" t="n">
        <f aca="false">SUM(B9:M9)</f>
        <v>1042200</v>
      </c>
    </row>
    <row r="10" customFormat="false" ht="15" hidden="false" customHeight="false" outlineLevel="0" collapsed="false">
      <c r="A10" s="42" t="s">
        <v>104</v>
      </c>
      <c r="B10" s="43" t="n">
        <v>126200</v>
      </c>
      <c r="C10" s="43" t="n">
        <v>139000</v>
      </c>
      <c r="D10" s="43" t="n">
        <v>145500</v>
      </c>
      <c r="E10" s="43" t="n">
        <v>157500</v>
      </c>
      <c r="F10" s="43" t="n">
        <v>153000</v>
      </c>
      <c r="G10" s="43" t="n">
        <v>142500</v>
      </c>
      <c r="H10" s="43" t="n">
        <v>140800</v>
      </c>
      <c r="I10" s="43" t="n">
        <v>142600</v>
      </c>
      <c r="J10" s="43" t="n">
        <v>156000</v>
      </c>
      <c r="K10" s="44"/>
      <c r="L10" s="44"/>
      <c r="M10" s="44"/>
      <c r="N10" s="44" t="n">
        <f aca="false">SUMPRODUCT($B10:$M10*($B$3:$M$3&lt;=ReportMonth))</f>
        <v>1303100</v>
      </c>
      <c r="O10" s="44" t="n">
        <f aca="false">SUM(B10:M10)</f>
        <v>1303100</v>
      </c>
    </row>
    <row r="11" customFormat="false" ht="15" hidden="false" customHeight="false" outlineLevel="0" collapsed="false">
      <c r="A11" s="42" t="s">
        <v>105</v>
      </c>
      <c r="B11" s="43" t="n">
        <v>74400</v>
      </c>
      <c r="C11" s="43" t="n">
        <v>74200</v>
      </c>
      <c r="D11" s="43" t="n">
        <v>85000</v>
      </c>
      <c r="E11" s="43" t="n">
        <v>91000</v>
      </c>
      <c r="F11" s="43" t="n">
        <v>85000</v>
      </c>
      <c r="G11" s="43" t="n">
        <v>82400</v>
      </c>
      <c r="H11" s="43" t="n">
        <v>76600</v>
      </c>
      <c r="I11" s="43" t="n">
        <v>83300</v>
      </c>
      <c r="J11" s="43" t="n">
        <v>86700</v>
      </c>
      <c r="K11" s="44"/>
      <c r="L11" s="44"/>
      <c r="M11" s="44"/>
      <c r="N11" s="44" t="n">
        <f aca="false">SUMPRODUCT($B11:$M11*($B$3:$M$3&lt;=ReportMonth))</f>
        <v>738600</v>
      </c>
      <c r="O11" s="44" t="n">
        <f aca="false">SUM(B11:M11)</f>
        <v>738600</v>
      </c>
    </row>
    <row r="12" customFormat="false" ht="15" hidden="false" customHeight="false" outlineLevel="0" collapsed="false">
      <c r="A12" s="42" t="s">
        <v>106</v>
      </c>
      <c r="B12" s="43" t="n">
        <v>20600</v>
      </c>
      <c r="C12" s="43" t="n">
        <v>22500</v>
      </c>
      <c r="D12" s="43" t="n">
        <v>25500</v>
      </c>
      <c r="E12" s="43" t="n">
        <v>26200</v>
      </c>
      <c r="F12" s="43" t="n">
        <v>25500</v>
      </c>
      <c r="G12" s="43" t="n">
        <v>23300</v>
      </c>
      <c r="H12" s="43" t="n">
        <v>23200</v>
      </c>
      <c r="I12" s="43" t="n">
        <v>24000</v>
      </c>
      <c r="J12" s="43" t="n">
        <v>26500</v>
      </c>
      <c r="K12" s="44"/>
      <c r="L12" s="44"/>
      <c r="M12" s="44"/>
      <c r="N12" s="44" t="n">
        <f aca="false">SUMPRODUCT($B12:$M12*($B$3:$M$3&lt;=ReportMonth))</f>
        <v>217300</v>
      </c>
      <c r="O12" s="44" t="n">
        <f aca="false">SUM(B12:M12)</f>
        <v>217300</v>
      </c>
    </row>
    <row r="13" customFormat="false" ht="15" hidden="false" customHeight="false" outlineLevel="0" collapsed="false">
      <c r="A13" s="45" t="s">
        <v>107</v>
      </c>
      <c r="B13" s="46" t="n">
        <f aca="false">SUM(B6:B12)</f>
        <v>678900</v>
      </c>
      <c r="C13" s="46" t="n">
        <f aca="false">SUM(C6:C12)</f>
        <v>717400</v>
      </c>
      <c r="D13" s="46" t="n">
        <f aca="false">SUM(D6:D12)</f>
        <v>791600</v>
      </c>
      <c r="E13" s="46" t="n">
        <f aca="false">SUM(E6:E12)</f>
        <v>834600</v>
      </c>
      <c r="F13" s="46" t="n">
        <f aca="false">SUM(F6:F12)</f>
        <v>799800</v>
      </c>
      <c r="G13" s="46" t="n">
        <f aca="false">SUM(G6:G12)</f>
        <v>760200</v>
      </c>
      <c r="H13" s="46" t="n">
        <f aca="false">SUM(H6:H12)</f>
        <v>727800</v>
      </c>
      <c r="I13" s="46" t="n">
        <f aca="false">SUM(I6:I12)</f>
        <v>774200</v>
      </c>
      <c r="J13" s="46" t="n">
        <f aca="false">SUM(J6:J12)</f>
        <v>823000</v>
      </c>
      <c r="K13" s="46" t="n">
        <f aca="false">SUM(K6:K12)</f>
        <v>0</v>
      </c>
      <c r="L13" s="46" t="n">
        <f aca="false">SUM(L6:L12)</f>
        <v>0</v>
      </c>
      <c r="M13" s="46" t="n">
        <f aca="false">SUM(M6:M12)</f>
        <v>0</v>
      </c>
      <c r="N13" s="46" t="n">
        <f aca="false">SUMPRODUCT($B13:$M13*($B$3:$M$3&lt;=ReportMonth))</f>
        <v>6907500</v>
      </c>
      <c r="O13" s="46" t="n">
        <f aca="false">SUM(B13:M13)</f>
        <v>6907500</v>
      </c>
    </row>
    <row r="14" customFormat="false" ht="15" hidden="false" customHeight="false" outlineLevel="0" collapsed="false">
      <c r="A14" s="47" t="s">
        <v>108</v>
      </c>
      <c r="B14" s="43" t="n">
        <v>17000</v>
      </c>
      <c r="C14" s="43" t="n">
        <v>17900</v>
      </c>
      <c r="D14" s="43" t="n">
        <v>19800</v>
      </c>
      <c r="E14" s="43" t="n">
        <v>20900</v>
      </c>
      <c r="F14" s="43" t="n">
        <v>20000</v>
      </c>
      <c r="G14" s="43" t="n">
        <v>19000</v>
      </c>
      <c r="H14" s="43" t="n">
        <v>18200</v>
      </c>
      <c r="I14" s="43" t="n">
        <v>19400</v>
      </c>
      <c r="J14" s="43" t="n">
        <v>20600</v>
      </c>
      <c r="K14" s="44"/>
      <c r="L14" s="44"/>
      <c r="M14" s="44"/>
      <c r="N14" s="44" t="n">
        <f aca="false">SUMPRODUCT($B14:$M14*($B$3:$M$3&lt;=ReportMonth))</f>
        <v>172800</v>
      </c>
      <c r="O14" s="44" t="n">
        <f aca="false">SUM(B14:M14)</f>
        <v>172800</v>
      </c>
    </row>
    <row r="15" customFormat="false" ht="15" hidden="false" customHeight="false" outlineLevel="0" collapsed="false">
      <c r="A15" s="47" t="s">
        <v>109</v>
      </c>
      <c r="B15" s="43" t="n">
        <v>20400</v>
      </c>
      <c r="C15" s="43" t="n">
        <v>21500</v>
      </c>
      <c r="D15" s="43" t="n">
        <v>23700</v>
      </c>
      <c r="E15" s="43" t="n">
        <v>25000</v>
      </c>
      <c r="F15" s="43" t="n">
        <v>24000</v>
      </c>
      <c r="G15" s="43" t="n">
        <v>22800</v>
      </c>
      <c r="H15" s="43" t="n">
        <v>21800</v>
      </c>
      <c r="I15" s="43" t="n">
        <v>23200</v>
      </c>
      <c r="J15" s="43" t="n">
        <v>24700</v>
      </c>
      <c r="K15" s="44"/>
      <c r="L15" s="44"/>
      <c r="M15" s="44"/>
      <c r="N15" s="44" t="n">
        <f aca="false">SUMPRODUCT($B15:$M15*($B$3:$M$3&lt;=ReportMonth))</f>
        <v>207100</v>
      </c>
      <c r="O15" s="44" t="n">
        <f aca="false">SUM(B15:M15)</f>
        <v>207100</v>
      </c>
    </row>
    <row r="16" customFormat="false" ht="15" hidden="false" customHeight="false" outlineLevel="0" collapsed="false">
      <c r="A16" s="47" t="s">
        <v>110</v>
      </c>
      <c r="B16" s="43" t="n">
        <v>27200</v>
      </c>
      <c r="C16" s="43" t="n">
        <v>28700</v>
      </c>
      <c r="D16" s="43" t="n">
        <v>31700</v>
      </c>
      <c r="E16" s="43" t="n">
        <v>33400</v>
      </c>
      <c r="F16" s="43" t="n">
        <v>32000</v>
      </c>
      <c r="G16" s="43" t="n">
        <v>30400</v>
      </c>
      <c r="H16" s="43" t="n">
        <v>29100</v>
      </c>
      <c r="I16" s="43" t="n">
        <v>31000</v>
      </c>
      <c r="J16" s="43" t="n">
        <v>32900</v>
      </c>
      <c r="K16" s="44"/>
      <c r="L16" s="44"/>
      <c r="M16" s="44"/>
      <c r="N16" s="44" t="n">
        <f aca="false">SUMPRODUCT($B16:$M16*($B$3:$M$3&lt;=ReportMonth))</f>
        <v>276400</v>
      </c>
      <c r="O16" s="44" t="n">
        <f aca="false">SUM(B16:M16)</f>
        <v>276400</v>
      </c>
    </row>
    <row r="17" customFormat="false" ht="15" hidden="false" customHeight="false" outlineLevel="0" collapsed="false">
      <c r="A17" s="45" t="s">
        <v>12</v>
      </c>
      <c r="B17" s="46" t="n">
        <f aca="false">B13-SUM(B14:B16)</f>
        <v>614300</v>
      </c>
      <c r="C17" s="46" t="n">
        <f aca="false">C13-SUM(C14:C16)</f>
        <v>649300</v>
      </c>
      <c r="D17" s="46" t="n">
        <f aca="false">D13-SUM(D14:D16)</f>
        <v>716400</v>
      </c>
      <c r="E17" s="46" t="n">
        <f aca="false">E13-SUM(E14:E16)</f>
        <v>755300</v>
      </c>
      <c r="F17" s="46" t="n">
        <f aca="false">F13-SUM(F14:F16)</f>
        <v>723800</v>
      </c>
      <c r="G17" s="46" t="n">
        <f aca="false">G13-SUM(G14:G16)</f>
        <v>688000</v>
      </c>
      <c r="H17" s="46" t="n">
        <f aca="false">H13-SUM(H14:H16)</f>
        <v>658700</v>
      </c>
      <c r="I17" s="46" t="n">
        <f aca="false">I13-SUM(I14:I16)</f>
        <v>700600</v>
      </c>
      <c r="J17" s="46" t="n">
        <f aca="false">J13-SUM(J14:J16)</f>
        <v>744800</v>
      </c>
      <c r="K17" s="46" t="n">
        <f aca="false">K13-SUM(K14:K16)</f>
        <v>0</v>
      </c>
      <c r="L17" s="46" t="n">
        <f aca="false">L13-SUM(L14:L16)</f>
        <v>0</v>
      </c>
      <c r="M17" s="46" t="n">
        <f aca="false">M13-SUM(M14:M16)</f>
        <v>0</v>
      </c>
      <c r="N17" s="46" t="n">
        <f aca="false">SUMPRODUCT($B17:$M17*($B$3:$M$3&lt;=ReportMonth))</f>
        <v>6251200</v>
      </c>
      <c r="O17" s="46" t="n">
        <f aca="false">SUM(B17:M17)</f>
        <v>6251200</v>
      </c>
    </row>
    <row r="18" customFormat="false" ht="15" hidden="false" customHeight="false" outlineLevel="0" collapsed="false">
      <c r="A18" s="47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</row>
    <row r="19" customFormat="false" ht="15" hidden="false" customHeight="false" outlineLevel="0" collapsed="false">
      <c r="A19" s="40" t="s">
        <v>111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customFormat="false" ht="15" hidden="false" customHeight="false" outlineLevel="0" collapsed="false">
      <c r="A20" s="47" t="s">
        <v>112</v>
      </c>
      <c r="B20" s="43" t="n">
        <v>102500</v>
      </c>
      <c r="C20" s="43" t="n">
        <v>111800</v>
      </c>
      <c r="D20" s="43" t="n">
        <v>120600</v>
      </c>
      <c r="E20" s="43" t="n">
        <v>127900</v>
      </c>
      <c r="F20" s="43" t="n">
        <v>120600</v>
      </c>
      <c r="G20" s="43" t="n">
        <v>120400</v>
      </c>
      <c r="H20" s="43" t="n">
        <v>107600</v>
      </c>
      <c r="I20" s="43" t="n">
        <v>118100</v>
      </c>
      <c r="J20" s="43" t="n">
        <v>129200</v>
      </c>
      <c r="K20" s="44"/>
      <c r="L20" s="44"/>
      <c r="M20" s="44"/>
      <c r="N20" s="44" t="n">
        <f aca="false">SUMPRODUCT($B20:$M20*($B$3:$M$3&lt;=ReportMonth))</f>
        <v>1058700</v>
      </c>
      <c r="O20" s="44" t="n">
        <f aca="false">SUM(B20:M20)</f>
        <v>1058700</v>
      </c>
    </row>
    <row r="21" customFormat="false" ht="15" hidden="false" customHeight="false" outlineLevel="0" collapsed="false">
      <c r="A21" s="47" t="s">
        <v>113</v>
      </c>
      <c r="B21" s="43" t="n">
        <v>76300</v>
      </c>
      <c r="C21" s="43" t="n">
        <v>78400</v>
      </c>
      <c r="D21" s="43" t="n">
        <v>88000</v>
      </c>
      <c r="E21" s="43" t="n">
        <v>91500</v>
      </c>
      <c r="F21" s="43" t="n">
        <v>91500</v>
      </c>
      <c r="G21" s="43" t="n">
        <v>80300</v>
      </c>
      <c r="H21" s="43" t="n">
        <v>81000</v>
      </c>
      <c r="I21" s="43" t="n">
        <v>87900</v>
      </c>
      <c r="J21" s="43" t="n">
        <v>89700</v>
      </c>
      <c r="K21" s="44"/>
      <c r="L21" s="44"/>
      <c r="M21" s="44"/>
      <c r="N21" s="44" t="n">
        <f aca="false">SUMPRODUCT($B21:$M21*($B$3:$M$3&lt;=ReportMonth))</f>
        <v>764600</v>
      </c>
      <c r="O21" s="44" t="n">
        <f aca="false">SUM(B21:M21)</f>
        <v>764600</v>
      </c>
    </row>
    <row r="22" customFormat="false" ht="15" hidden="false" customHeight="false" outlineLevel="0" collapsed="false">
      <c r="A22" s="47" t="s">
        <v>114</v>
      </c>
      <c r="B22" s="43" t="n">
        <v>22700</v>
      </c>
      <c r="C22" s="43" t="n">
        <v>24300</v>
      </c>
      <c r="D22" s="43" t="n">
        <v>26800</v>
      </c>
      <c r="E22" s="43" t="n">
        <v>29500</v>
      </c>
      <c r="F22" s="43" t="n">
        <v>25900</v>
      </c>
      <c r="G22" s="43" t="n">
        <v>25700</v>
      </c>
      <c r="H22" s="43" t="n">
        <v>25600</v>
      </c>
      <c r="I22" s="43" t="n">
        <v>25900</v>
      </c>
      <c r="J22" s="43" t="n">
        <v>28400</v>
      </c>
      <c r="K22" s="44"/>
      <c r="L22" s="44"/>
      <c r="M22" s="44"/>
      <c r="N22" s="44" t="n">
        <f aca="false">SUMPRODUCT($B22:$M22*($B$3:$M$3&lt;=ReportMonth))</f>
        <v>234800</v>
      </c>
      <c r="O22" s="44" t="n">
        <f aca="false">SUM(B22:M22)</f>
        <v>234800</v>
      </c>
    </row>
    <row r="23" customFormat="false" ht="15" hidden="false" customHeight="false" outlineLevel="0" collapsed="false">
      <c r="A23" s="47" t="s">
        <v>115</v>
      </c>
      <c r="B23" s="43" t="n">
        <v>57100</v>
      </c>
      <c r="C23" s="43" t="n">
        <v>59900</v>
      </c>
      <c r="D23" s="43" t="n">
        <v>69900</v>
      </c>
      <c r="E23" s="43" t="n">
        <v>67700</v>
      </c>
      <c r="F23" s="43" t="n">
        <v>67200</v>
      </c>
      <c r="G23" s="43" t="n">
        <v>65800</v>
      </c>
      <c r="H23" s="43" t="n">
        <v>61200</v>
      </c>
      <c r="I23" s="43" t="n">
        <v>66500</v>
      </c>
      <c r="J23" s="43" t="n">
        <v>68500</v>
      </c>
      <c r="K23" s="44"/>
      <c r="L23" s="44"/>
      <c r="M23" s="44"/>
      <c r="N23" s="44" t="n">
        <f aca="false">SUMPRODUCT($B23:$M23*($B$3:$M$3&lt;=ReportMonth))</f>
        <v>583800</v>
      </c>
      <c r="O23" s="44" t="n">
        <f aca="false">SUM(B23:M23)</f>
        <v>583800</v>
      </c>
    </row>
    <row r="24" customFormat="false" ht="15" hidden="false" customHeight="false" outlineLevel="0" collapsed="false">
      <c r="A24" s="47" t="s">
        <v>116</v>
      </c>
      <c r="B24" s="43" t="n">
        <v>71900</v>
      </c>
      <c r="C24" s="43" t="n">
        <v>80000</v>
      </c>
      <c r="D24" s="43" t="n">
        <v>82100</v>
      </c>
      <c r="E24" s="43" t="n">
        <v>89800</v>
      </c>
      <c r="F24" s="43" t="n">
        <v>88100</v>
      </c>
      <c r="G24" s="43" t="n">
        <v>80400</v>
      </c>
      <c r="H24" s="43" t="n">
        <v>80300</v>
      </c>
      <c r="I24" s="43" t="n">
        <v>82100</v>
      </c>
      <c r="J24" s="43" t="n">
        <v>88000</v>
      </c>
      <c r="K24" s="44"/>
      <c r="L24" s="44"/>
      <c r="M24" s="44"/>
      <c r="N24" s="44" t="n">
        <f aca="false">SUMPRODUCT($B24:$M24*($B$3:$M$3&lt;=ReportMonth))</f>
        <v>742700</v>
      </c>
      <c r="O24" s="44" t="n">
        <f aca="false">SUM(B24:M24)</f>
        <v>742700</v>
      </c>
    </row>
    <row r="25" customFormat="false" ht="15" hidden="false" customHeight="false" outlineLevel="0" collapsed="false">
      <c r="A25" s="47" t="s">
        <v>117</v>
      </c>
      <c r="B25" s="43" t="n">
        <v>33800</v>
      </c>
      <c r="C25" s="43" t="n">
        <v>33100</v>
      </c>
      <c r="D25" s="43" t="n">
        <v>38200</v>
      </c>
      <c r="E25" s="43" t="n">
        <v>41400</v>
      </c>
      <c r="F25" s="43" t="n">
        <v>37900</v>
      </c>
      <c r="G25" s="43" t="n">
        <v>37100</v>
      </c>
      <c r="H25" s="43" t="n">
        <v>34800</v>
      </c>
      <c r="I25" s="43" t="n">
        <v>37100</v>
      </c>
      <c r="J25" s="43" t="n">
        <v>39000</v>
      </c>
      <c r="K25" s="44"/>
      <c r="L25" s="44"/>
      <c r="M25" s="44"/>
      <c r="N25" s="44" t="n">
        <f aca="false">SUMPRODUCT($B25:$M25*($B$3:$M$3&lt;=ReportMonth))</f>
        <v>332400</v>
      </c>
      <c r="O25" s="44" t="n">
        <f aca="false">SUM(B25:M25)</f>
        <v>332400</v>
      </c>
    </row>
    <row r="26" customFormat="false" ht="15" hidden="false" customHeight="false" outlineLevel="0" collapsed="false">
      <c r="A26" s="47" t="s">
        <v>118</v>
      </c>
      <c r="B26" s="43" t="n">
        <v>8200</v>
      </c>
      <c r="C26" s="43" t="n">
        <v>9000</v>
      </c>
      <c r="D26" s="43" t="n">
        <v>10300</v>
      </c>
      <c r="E26" s="43" t="n">
        <v>10400</v>
      </c>
      <c r="F26" s="43" t="n">
        <v>10200</v>
      </c>
      <c r="G26" s="43" t="n">
        <v>9400</v>
      </c>
      <c r="H26" s="43" t="n">
        <v>9200</v>
      </c>
      <c r="I26" s="43" t="n">
        <v>9600</v>
      </c>
      <c r="J26" s="43" t="n">
        <v>10700</v>
      </c>
      <c r="K26" s="44"/>
      <c r="L26" s="44"/>
      <c r="M26" s="44"/>
      <c r="N26" s="44" t="n">
        <f aca="false">SUMPRODUCT($B26:$M26*($B$3:$M$3&lt;=ReportMonth))</f>
        <v>87000</v>
      </c>
      <c r="O26" s="44" t="n">
        <f aca="false">SUM(B26:M26)</f>
        <v>87000</v>
      </c>
    </row>
    <row r="27" customFormat="false" ht="15" hidden="false" customHeight="false" outlineLevel="0" collapsed="false">
      <c r="A27" s="47" t="s">
        <v>119</v>
      </c>
      <c r="B27" s="43" t="n">
        <v>23800</v>
      </c>
      <c r="C27" s="43" t="n">
        <v>25100</v>
      </c>
      <c r="D27" s="43" t="n">
        <v>27700</v>
      </c>
      <c r="E27" s="43" t="n">
        <v>29200</v>
      </c>
      <c r="F27" s="43" t="n">
        <v>28000</v>
      </c>
      <c r="G27" s="43" t="n">
        <v>26600</v>
      </c>
      <c r="H27" s="43" t="n">
        <v>25500</v>
      </c>
      <c r="I27" s="43" t="n">
        <v>27100</v>
      </c>
      <c r="J27" s="43" t="n">
        <v>28800</v>
      </c>
      <c r="K27" s="44"/>
      <c r="L27" s="44"/>
      <c r="M27" s="44"/>
      <c r="N27" s="44" t="n">
        <f aca="false">SUMPRODUCT($B27:$M27*($B$3:$M$3&lt;=ReportMonth))</f>
        <v>241800</v>
      </c>
      <c r="O27" s="44" t="n">
        <f aca="false">SUM(B27:M27)</f>
        <v>241800</v>
      </c>
    </row>
    <row r="28" customFormat="false" ht="15" hidden="false" customHeight="false" outlineLevel="0" collapsed="false">
      <c r="A28" s="47" t="s">
        <v>120</v>
      </c>
      <c r="B28" s="43" t="n">
        <v>2700</v>
      </c>
      <c r="C28" s="43" t="n">
        <v>2900</v>
      </c>
      <c r="D28" s="43" t="n">
        <v>3200</v>
      </c>
      <c r="E28" s="43" t="n">
        <v>3300</v>
      </c>
      <c r="F28" s="43" t="n">
        <v>3200</v>
      </c>
      <c r="G28" s="43" t="n">
        <v>3000</v>
      </c>
      <c r="H28" s="43" t="n">
        <v>2900</v>
      </c>
      <c r="I28" s="43" t="n">
        <v>3100</v>
      </c>
      <c r="J28" s="43" t="n">
        <v>3300</v>
      </c>
      <c r="K28" s="44"/>
      <c r="L28" s="44"/>
      <c r="M28" s="44"/>
      <c r="N28" s="44" t="n">
        <f aca="false">SUMPRODUCT($B28:$M28*($B$3:$M$3&lt;=ReportMonth))</f>
        <v>27600</v>
      </c>
      <c r="O28" s="44" t="n">
        <f aca="false">SUM(B28:M28)</f>
        <v>27600</v>
      </c>
    </row>
    <row r="29" customFormat="false" ht="15" hidden="false" customHeight="false" outlineLevel="0" collapsed="false">
      <c r="A29" s="45" t="s">
        <v>121</v>
      </c>
      <c r="B29" s="46" t="n">
        <f aca="false">SUM(B20:B28)</f>
        <v>399000</v>
      </c>
      <c r="C29" s="46" t="n">
        <f aca="false">SUM(C20:C28)</f>
        <v>424500</v>
      </c>
      <c r="D29" s="46" t="n">
        <f aca="false">SUM(D20:D28)</f>
        <v>466800</v>
      </c>
      <c r="E29" s="46" t="n">
        <f aca="false">SUM(E20:E28)</f>
        <v>490700</v>
      </c>
      <c r="F29" s="46" t="n">
        <f aca="false">SUM(F20:F28)</f>
        <v>472600</v>
      </c>
      <c r="G29" s="46" t="n">
        <f aca="false">SUM(G20:G28)</f>
        <v>448700</v>
      </c>
      <c r="H29" s="46" t="n">
        <f aca="false">SUM(H20:H28)</f>
        <v>428100</v>
      </c>
      <c r="I29" s="46" t="n">
        <f aca="false">SUM(I20:I28)</f>
        <v>457400</v>
      </c>
      <c r="J29" s="46" t="n">
        <f aca="false">SUM(J20:J28)</f>
        <v>485600</v>
      </c>
      <c r="K29" s="46" t="n">
        <f aca="false">SUM(K20:K28)</f>
        <v>0</v>
      </c>
      <c r="L29" s="46" t="n">
        <f aca="false">SUM(L20:L28)</f>
        <v>0</v>
      </c>
      <c r="M29" s="46" t="n">
        <f aca="false">SUM(M20:M28)</f>
        <v>0</v>
      </c>
      <c r="N29" s="46" t="n">
        <f aca="false">SUMPRODUCT($B29:$M29*($B$3:$M$3&lt;=ReportMonth))</f>
        <v>4073400</v>
      </c>
      <c r="O29" s="46" t="n">
        <f aca="false">SUM(B29:M29)</f>
        <v>4073400</v>
      </c>
    </row>
    <row r="30" customFormat="false" ht="15" hidden="false" customHeight="false" outlineLevel="0" collapsed="false">
      <c r="A30" s="45" t="s">
        <v>13</v>
      </c>
      <c r="B30" s="46" t="n">
        <f aca="false">B17-B29</f>
        <v>215300</v>
      </c>
      <c r="C30" s="46" t="n">
        <f aca="false">C17-C29</f>
        <v>224800</v>
      </c>
      <c r="D30" s="46" t="n">
        <f aca="false">D17-D29</f>
        <v>249600</v>
      </c>
      <c r="E30" s="46" t="n">
        <f aca="false">E17-E29</f>
        <v>264600</v>
      </c>
      <c r="F30" s="46" t="n">
        <f aca="false">F17-F29</f>
        <v>251200</v>
      </c>
      <c r="G30" s="46" t="n">
        <f aca="false">G17-G29</f>
        <v>239300</v>
      </c>
      <c r="H30" s="46" t="n">
        <f aca="false">H17-H29</f>
        <v>230600</v>
      </c>
      <c r="I30" s="46" t="n">
        <f aca="false">I17-I29</f>
        <v>243200</v>
      </c>
      <c r="J30" s="46" t="n">
        <f aca="false">J17-J29</f>
        <v>259200</v>
      </c>
      <c r="K30" s="46" t="n">
        <f aca="false">K17-K29</f>
        <v>0</v>
      </c>
      <c r="L30" s="46" t="n">
        <f aca="false">L17-L29</f>
        <v>0</v>
      </c>
      <c r="M30" s="46" t="n">
        <f aca="false">M17-M29</f>
        <v>0</v>
      </c>
      <c r="N30" s="46" t="n">
        <f aca="false">SUMPRODUCT($B30:$M30*($B$3:$M$3&lt;=ReportMonth))</f>
        <v>2177800</v>
      </c>
      <c r="O30" s="46" t="n">
        <f aca="false">SUM(B30:M30)</f>
        <v>2177800</v>
      </c>
    </row>
    <row r="31" customFormat="false" ht="15" hidden="false" customHeight="false" outlineLevel="0" collapsed="false">
      <c r="A31" s="45" t="s">
        <v>122</v>
      </c>
      <c r="B31" s="48" t="n">
        <f aca="false">IF(B17=0,"",B30/B17)</f>
        <v>0.3504802213902</v>
      </c>
      <c r="C31" s="48" t="n">
        <f aca="false">IF(C17=0,"",C30/C17)</f>
        <v>0.346219005082396</v>
      </c>
      <c r="D31" s="48" t="n">
        <f aca="false">IF(D17=0,"",D30/D17)</f>
        <v>0.348408710217755</v>
      </c>
      <c r="E31" s="48" t="n">
        <f aca="false">IF(E17=0,"",E30/E17)</f>
        <v>0.35032437442076</v>
      </c>
      <c r="F31" s="48" t="n">
        <f aca="false">IF(F17=0,"",F30/F17)</f>
        <v>0.347057198121028</v>
      </c>
      <c r="G31" s="48" t="n">
        <f aca="false">IF(G17=0,"",G30/G17)</f>
        <v>0.34781976744186</v>
      </c>
      <c r="H31" s="48" t="n">
        <f aca="false">IF(H17=0,"",H30/H17)</f>
        <v>0.350083497798694</v>
      </c>
      <c r="I31" s="48" t="n">
        <f aca="false">IF(I17=0,"",I30/I17)</f>
        <v>0.347131030545247</v>
      </c>
      <c r="J31" s="48" t="n">
        <f aca="false">IF(J17=0,"",J30/J17)</f>
        <v>0.348012889366273</v>
      </c>
      <c r="K31" s="48" t="str">
        <f aca="false">IF(K17=0,"",K30/K17)</f>
        <v/>
      </c>
      <c r="L31" s="48" t="str">
        <f aca="false">IF(L17=0,"",L30/L17)</f>
        <v/>
      </c>
      <c r="M31" s="48" t="str">
        <f aca="false">IF(M17=0,"",M30/M17)</f>
        <v/>
      </c>
      <c r="N31" s="48" t="n">
        <f aca="false">IF(N17=0,"",N30/N17)</f>
        <v>0.348381110826721</v>
      </c>
      <c r="O31" s="48" t="n">
        <f aca="false">IF(O17=0,"",O30/O17)</f>
        <v>0.348381110826721</v>
      </c>
    </row>
    <row r="32" customFormat="false" ht="15" hidden="false" customHeight="false" outlineLevel="0" collapsed="false">
      <c r="A32" s="47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customFormat="false" ht="15" hidden="false" customHeight="false" outlineLevel="0" collapsed="false">
      <c r="A33" s="40" t="s">
        <v>123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customFormat="false" ht="15" hidden="false" customHeight="false" outlineLevel="0" collapsed="false">
      <c r="A34" s="47" t="s">
        <v>124</v>
      </c>
      <c r="B34" s="43" t="n">
        <v>40700</v>
      </c>
      <c r="C34" s="43" t="n">
        <v>43000</v>
      </c>
      <c r="D34" s="43" t="n">
        <v>47500</v>
      </c>
      <c r="E34" s="43" t="n">
        <v>50100</v>
      </c>
      <c r="F34" s="43" t="n">
        <v>48000</v>
      </c>
      <c r="G34" s="43" t="n">
        <v>45600</v>
      </c>
      <c r="H34" s="43" t="n">
        <v>43700</v>
      </c>
      <c r="I34" s="43" t="n">
        <v>46500</v>
      </c>
      <c r="J34" s="43" t="n">
        <v>49400</v>
      </c>
      <c r="K34" s="44"/>
      <c r="L34" s="44"/>
      <c r="M34" s="44"/>
      <c r="N34" s="44" t="n">
        <f aca="false">SUMPRODUCT($B34:$M34*($B$3:$M$3&lt;=ReportMonth))</f>
        <v>414500</v>
      </c>
      <c r="O34" s="44" t="n">
        <f aca="false">SUM(B34:M34)</f>
        <v>414500</v>
      </c>
    </row>
    <row r="35" customFormat="false" ht="15" hidden="false" customHeight="false" outlineLevel="0" collapsed="false">
      <c r="A35" s="47" t="s">
        <v>125</v>
      </c>
      <c r="B35" s="43" t="n">
        <v>14900</v>
      </c>
      <c r="C35" s="43" t="n">
        <v>15800</v>
      </c>
      <c r="D35" s="43" t="n">
        <v>17400</v>
      </c>
      <c r="E35" s="43" t="n">
        <v>18400</v>
      </c>
      <c r="F35" s="43" t="n">
        <v>17600</v>
      </c>
      <c r="G35" s="43" t="n">
        <v>16700</v>
      </c>
      <c r="H35" s="43" t="n">
        <v>16000</v>
      </c>
      <c r="I35" s="43" t="n">
        <v>17000</v>
      </c>
      <c r="J35" s="43" t="n">
        <v>18100</v>
      </c>
      <c r="K35" s="44"/>
      <c r="L35" s="44"/>
      <c r="M35" s="44"/>
      <c r="N35" s="44" t="n">
        <f aca="false">SUMPRODUCT($B35:$M35*($B$3:$M$3&lt;=ReportMonth))</f>
        <v>151900</v>
      </c>
      <c r="O35" s="44" t="n">
        <f aca="false">SUM(B35:M35)</f>
        <v>151900</v>
      </c>
    </row>
    <row r="36" customFormat="false" ht="15" hidden="false" customHeight="false" outlineLevel="0" collapsed="false">
      <c r="A36" s="47" t="s">
        <v>126</v>
      </c>
      <c r="B36" s="43" t="n">
        <v>93600</v>
      </c>
      <c r="C36" s="43" t="n">
        <v>94500</v>
      </c>
      <c r="D36" s="43" t="n">
        <v>95500</v>
      </c>
      <c r="E36" s="43" t="n">
        <v>96400</v>
      </c>
      <c r="F36" s="43" t="n">
        <v>93600</v>
      </c>
      <c r="G36" s="43" t="n">
        <v>94500</v>
      </c>
      <c r="H36" s="43" t="n">
        <v>95500</v>
      </c>
      <c r="I36" s="43" t="n">
        <v>96400</v>
      </c>
      <c r="J36" s="43" t="n">
        <v>93600</v>
      </c>
      <c r="K36" s="44"/>
      <c r="L36" s="44"/>
      <c r="M36" s="44"/>
      <c r="N36" s="44" t="n">
        <f aca="false">SUMPRODUCT($B36:$M36*($B$3:$M$3&lt;=ReportMonth))</f>
        <v>853600</v>
      </c>
      <c r="O36" s="44" t="n">
        <f aca="false">SUM(B36:M36)</f>
        <v>853600</v>
      </c>
    </row>
    <row r="37" customFormat="false" ht="15" hidden="false" customHeight="false" outlineLevel="0" collapsed="false">
      <c r="A37" s="47" t="s">
        <v>127</v>
      </c>
      <c r="B37" s="43" t="n">
        <v>27600</v>
      </c>
      <c r="C37" s="43" t="n">
        <v>27900</v>
      </c>
      <c r="D37" s="43" t="n">
        <v>28100</v>
      </c>
      <c r="E37" s="43" t="n">
        <v>28400</v>
      </c>
      <c r="F37" s="43" t="n">
        <v>27600</v>
      </c>
      <c r="G37" s="43" t="n">
        <v>27900</v>
      </c>
      <c r="H37" s="43" t="n">
        <v>28100</v>
      </c>
      <c r="I37" s="43" t="n">
        <v>28400</v>
      </c>
      <c r="J37" s="43" t="n">
        <v>27600</v>
      </c>
      <c r="K37" s="44"/>
      <c r="L37" s="44"/>
      <c r="M37" s="44"/>
      <c r="N37" s="44" t="n">
        <f aca="false">SUMPRODUCT($B37:$M37*($B$3:$M$3&lt;=ReportMonth))</f>
        <v>251600</v>
      </c>
      <c r="O37" s="44" t="n">
        <f aca="false">SUM(B37:M37)</f>
        <v>251600</v>
      </c>
    </row>
    <row r="38" customFormat="false" ht="15" hidden="false" customHeight="false" outlineLevel="0" collapsed="false">
      <c r="A38" s="47" t="s">
        <v>128</v>
      </c>
      <c r="B38" s="43" t="n">
        <v>10200</v>
      </c>
      <c r="C38" s="43" t="n">
        <v>10800</v>
      </c>
      <c r="D38" s="43" t="n">
        <v>11900</v>
      </c>
      <c r="E38" s="43" t="n">
        <v>12500</v>
      </c>
      <c r="F38" s="43" t="n">
        <v>12000</v>
      </c>
      <c r="G38" s="43" t="n">
        <v>11400</v>
      </c>
      <c r="H38" s="43" t="n">
        <v>10900</v>
      </c>
      <c r="I38" s="43" t="n">
        <v>11600</v>
      </c>
      <c r="J38" s="43" t="n">
        <v>12300</v>
      </c>
      <c r="K38" s="44"/>
      <c r="L38" s="44"/>
      <c r="M38" s="44"/>
      <c r="N38" s="44" t="n">
        <f aca="false">SUMPRODUCT($B38:$M38*($B$3:$M$3&lt;=ReportMonth))</f>
        <v>103600</v>
      </c>
      <c r="O38" s="44" t="n">
        <f aca="false">SUM(B38:M38)</f>
        <v>103600</v>
      </c>
    </row>
    <row r="39" customFormat="false" ht="15" hidden="false" customHeight="false" outlineLevel="0" collapsed="false">
      <c r="A39" s="47" t="s">
        <v>129</v>
      </c>
      <c r="B39" s="43" t="n">
        <v>5900</v>
      </c>
      <c r="C39" s="43" t="n">
        <v>6000</v>
      </c>
      <c r="D39" s="43" t="n">
        <v>6000</v>
      </c>
      <c r="E39" s="43" t="n">
        <v>6100</v>
      </c>
      <c r="F39" s="43" t="n">
        <v>5900</v>
      </c>
      <c r="G39" s="43" t="n">
        <v>6000</v>
      </c>
      <c r="H39" s="43" t="n">
        <v>6000</v>
      </c>
      <c r="I39" s="43" t="n">
        <v>6100</v>
      </c>
      <c r="J39" s="43" t="n">
        <v>5900</v>
      </c>
      <c r="K39" s="44"/>
      <c r="L39" s="44"/>
      <c r="M39" s="44"/>
      <c r="N39" s="44" t="n">
        <f aca="false">SUMPRODUCT($B39:$M39*($B$3:$M$3&lt;=ReportMonth))</f>
        <v>53900</v>
      </c>
      <c r="O39" s="44" t="n">
        <f aca="false">SUM(B39:M39)</f>
        <v>53900</v>
      </c>
    </row>
    <row r="40" customFormat="false" ht="15" hidden="false" customHeight="false" outlineLevel="0" collapsed="false">
      <c r="A40" s="47" t="s">
        <v>130</v>
      </c>
      <c r="B40" s="43" t="n">
        <v>8900</v>
      </c>
      <c r="C40" s="43" t="n">
        <v>9000</v>
      </c>
      <c r="D40" s="43" t="n">
        <v>9000</v>
      </c>
      <c r="E40" s="43" t="n">
        <v>9100</v>
      </c>
      <c r="F40" s="43" t="n">
        <v>8900</v>
      </c>
      <c r="G40" s="43" t="n">
        <v>9000</v>
      </c>
      <c r="H40" s="43" t="n">
        <v>9000</v>
      </c>
      <c r="I40" s="43" t="n">
        <v>9100</v>
      </c>
      <c r="J40" s="43" t="n">
        <v>8900</v>
      </c>
      <c r="K40" s="44"/>
      <c r="L40" s="44"/>
      <c r="M40" s="44"/>
      <c r="N40" s="44" t="n">
        <f aca="false">SUMPRODUCT($B40:$M40*($B$3:$M$3&lt;=ReportMonth))</f>
        <v>80900</v>
      </c>
      <c r="O40" s="44" t="n">
        <f aca="false">SUM(B40:M40)</f>
        <v>80900</v>
      </c>
    </row>
    <row r="41" customFormat="false" ht="15" hidden="false" customHeight="false" outlineLevel="0" collapsed="false">
      <c r="A41" s="47" t="s">
        <v>131</v>
      </c>
      <c r="B41" s="43" t="n">
        <v>6900</v>
      </c>
      <c r="C41" s="43" t="n">
        <v>7000</v>
      </c>
      <c r="D41" s="43" t="n">
        <v>7000</v>
      </c>
      <c r="E41" s="43" t="n">
        <v>7100</v>
      </c>
      <c r="F41" s="43" t="n">
        <v>6900</v>
      </c>
      <c r="G41" s="43" t="n">
        <v>7000</v>
      </c>
      <c r="H41" s="43" t="n">
        <v>7000</v>
      </c>
      <c r="I41" s="43" t="n">
        <v>7100</v>
      </c>
      <c r="J41" s="43" t="n">
        <v>6900</v>
      </c>
      <c r="K41" s="44"/>
      <c r="L41" s="44"/>
      <c r="M41" s="44"/>
      <c r="N41" s="44" t="n">
        <f aca="false">SUMPRODUCT($B41:$M41*($B$3:$M$3&lt;=ReportMonth))</f>
        <v>62900</v>
      </c>
      <c r="O41" s="44" t="n">
        <f aca="false">SUM(B41:M41)</f>
        <v>62900</v>
      </c>
    </row>
    <row r="42" customFormat="false" ht="15" hidden="false" customHeight="false" outlineLevel="0" collapsed="false">
      <c r="A42" s="45" t="s">
        <v>132</v>
      </c>
      <c r="B42" s="46" t="n">
        <f aca="false">SUM(B34:B41)</f>
        <v>208700</v>
      </c>
      <c r="C42" s="46" t="n">
        <f aca="false">SUM(C34:C41)</f>
        <v>214000</v>
      </c>
      <c r="D42" s="46" t="n">
        <f aca="false">SUM(D34:D41)</f>
        <v>222400</v>
      </c>
      <c r="E42" s="46" t="n">
        <f aca="false">SUM(E34:E41)</f>
        <v>228100</v>
      </c>
      <c r="F42" s="46" t="n">
        <f aca="false">SUM(F34:F41)</f>
        <v>220500</v>
      </c>
      <c r="G42" s="46" t="n">
        <f aca="false">SUM(G34:G41)</f>
        <v>218100</v>
      </c>
      <c r="H42" s="46" t="n">
        <f aca="false">SUM(H34:H41)</f>
        <v>216200</v>
      </c>
      <c r="I42" s="46" t="n">
        <f aca="false">SUM(I34:I41)</f>
        <v>222200</v>
      </c>
      <c r="J42" s="46" t="n">
        <f aca="false">SUM(J34:J41)</f>
        <v>222700</v>
      </c>
      <c r="K42" s="46" t="n">
        <f aca="false">SUM(K34:K41)</f>
        <v>0</v>
      </c>
      <c r="L42" s="46" t="n">
        <f aca="false">SUM(L34:L41)</f>
        <v>0</v>
      </c>
      <c r="M42" s="46" t="n">
        <f aca="false">SUM(M34:M41)</f>
        <v>0</v>
      </c>
      <c r="N42" s="46" t="n">
        <f aca="false">SUMPRODUCT($B42:$M42*($B$3:$M$3&lt;=ReportMonth))</f>
        <v>1972900</v>
      </c>
      <c r="O42" s="46" t="n">
        <f aca="false">SUM(B42:M42)</f>
        <v>1972900</v>
      </c>
    </row>
    <row r="43" customFormat="false" ht="15" hidden="false" customHeight="false" outlineLevel="0" collapsed="false">
      <c r="A43" s="45" t="s">
        <v>16</v>
      </c>
      <c r="B43" s="46" t="n">
        <f aca="false">B30-B42</f>
        <v>6600</v>
      </c>
      <c r="C43" s="46" t="n">
        <f aca="false">C30-C42</f>
        <v>10800</v>
      </c>
      <c r="D43" s="46" t="n">
        <f aca="false">D30-D42</f>
        <v>27200</v>
      </c>
      <c r="E43" s="46" t="n">
        <f aca="false">E30-E42</f>
        <v>36500</v>
      </c>
      <c r="F43" s="46" t="n">
        <f aca="false">F30-F42</f>
        <v>30700</v>
      </c>
      <c r="G43" s="46" t="n">
        <f aca="false">G30-G42</f>
        <v>21200</v>
      </c>
      <c r="H43" s="46" t="n">
        <f aca="false">H30-H42</f>
        <v>14400</v>
      </c>
      <c r="I43" s="46" t="n">
        <f aca="false">I30-I42</f>
        <v>21000</v>
      </c>
      <c r="J43" s="46" t="n">
        <f aca="false">J30-J42</f>
        <v>36500</v>
      </c>
      <c r="K43" s="46" t="n">
        <f aca="false">K30-K42</f>
        <v>0</v>
      </c>
      <c r="L43" s="46" t="n">
        <f aca="false">L30-L42</f>
        <v>0</v>
      </c>
      <c r="M43" s="46" t="n">
        <f aca="false">M30-M42</f>
        <v>0</v>
      </c>
      <c r="N43" s="46" t="n">
        <f aca="false">SUMPRODUCT($B43:$M43*($B$3:$M$3&lt;=ReportMonth))</f>
        <v>204900</v>
      </c>
      <c r="O43" s="46" t="n">
        <f aca="false">SUM(B43:M43)</f>
        <v>204900</v>
      </c>
    </row>
    <row r="44" customFormat="false" ht="15" hidden="false" customHeight="false" outlineLevel="0" collapsed="false">
      <c r="A44" s="45" t="s">
        <v>133</v>
      </c>
      <c r="B44" s="48" t="n">
        <f aca="false">IF(B17=0,"",B43/B17)</f>
        <v>0.0107439361875305</v>
      </c>
      <c r="C44" s="48" t="n">
        <f aca="false">IF(C17=0,"",C43/C17)</f>
        <v>0.016633297397197</v>
      </c>
      <c r="D44" s="48" t="n">
        <f aca="false">IF(D17=0,"",D43/D17)</f>
        <v>0.0379676158570631</v>
      </c>
      <c r="E44" s="48" t="n">
        <f aca="false">IF(E17=0,"",E43/E17)</f>
        <v>0.0483251688070965</v>
      </c>
      <c r="F44" s="48" t="n">
        <f aca="false">IF(F17=0,"",F43/F17)</f>
        <v>0.0424150317767339</v>
      </c>
      <c r="G44" s="48" t="n">
        <f aca="false">IF(G17=0,"",G43/G17)</f>
        <v>0.0308139534883721</v>
      </c>
      <c r="H44" s="48" t="n">
        <f aca="false">IF(H17=0,"",H43/H17)</f>
        <v>0.0218612418399879</v>
      </c>
      <c r="I44" s="48" t="n">
        <f aca="false">IF(I17=0,"",I43/I17)</f>
        <v>0.0299743077362261</v>
      </c>
      <c r="J44" s="48" t="n">
        <f aca="false">IF(J17=0,"",J43/J17)</f>
        <v>0.0490064446831364</v>
      </c>
      <c r="K44" s="48" t="str">
        <f aca="false">IF(K17=0,"",K43/K17)</f>
        <v/>
      </c>
      <c r="L44" s="48" t="str">
        <f aca="false">IF(L17=0,"",L43/L17)</f>
        <v/>
      </c>
      <c r="M44" s="48" t="str">
        <f aca="false">IF(M17=0,"",M43/M17)</f>
        <v/>
      </c>
      <c r="N44" s="48" t="n">
        <f aca="false">IF(N17=0,"",N43/N17)</f>
        <v>0.0327777066803174</v>
      </c>
      <c r="O44" s="48" t="n">
        <f aca="false">IF(O17=0,"",O43/O17)</f>
        <v>0.0327777066803174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3"/>
    <col collapsed="false" customWidth="true" hidden="false" outlineLevel="0" max="14" min="14" style="0" width="18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32" t="s">
        <v>134</v>
      </c>
    </row>
    <row r="2" customFormat="false" ht="15" hidden="false" customHeight="false" outlineLevel="0" collapsed="false">
      <c r="A2" s="33" t="s">
        <v>135</v>
      </c>
    </row>
    <row r="3" customFormat="false" ht="15" hidden="false" customHeight="false" outlineLevel="0" collapsed="false">
      <c r="B3" s="39" t="n">
        <v>1</v>
      </c>
      <c r="C3" s="39" t="n">
        <v>2</v>
      </c>
      <c r="D3" s="39" t="n">
        <v>3</v>
      </c>
      <c r="E3" s="39" t="n">
        <v>4</v>
      </c>
      <c r="F3" s="39" t="n">
        <v>5</v>
      </c>
      <c r="G3" s="39" t="n">
        <v>6</v>
      </c>
      <c r="H3" s="39" t="n">
        <v>7</v>
      </c>
      <c r="I3" s="39" t="n">
        <v>8</v>
      </c>
      <c r="J3" s="39" t="n">
        <v>9</v>
      </c>
      <c r="K3" s="39" t="n">
        <v>10</v>
      </c>
      <c r="L3" s="39" t="n">
        <v>11</v>
      </c>
      <c r="M3" s="39" t="n">
        <v>12</v>
      </c>
    </row>
    <row r="4" customFormat="false" ht="30" hidden="false" customHeight="true" outlineLevel="0" collapsed="false">
      <c r="A4" s="16" t="s">
        <v>136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  <c r="H4" s="17" t="s">
        <v>91</v>
      </c>
      <c r="I4" s="17" t="s">
        <v>92</v>
      </c>
      <c r="J4" s="17" t="s">
        <v>93</v>
      </c>
      <c r="K4" s="17" t="s">
        <v>94</v>
      </c>
      <c r="L4" s="17" t="s">
        <v>95</v>
      </c>
      <c r="M4" s="17" t="s">
        <v>96</v>
      </c>
      <c r="N4" s="17" t="s">
        <v>97</v>
      </c>
      <c r="O4" s="17" t="s">
        <v>98</v>
      </c>
    </row>
    <row r="5" customFormat="false" ht="15" hidden="false" customHeight="false" outlineLevel="0" collapsed="false">
      <c r="A5" s="42" t="s">
        <v>137</v>
      </c>
      <c r="B5" s="43" t="n">
        <v>258000</v>
      </c>
      <c r="C5" s="43" t="n">
        <v>279800</v>
      </c>
      <c r="D5" s="43" t="n">
        <v>300800</v>
      </c>
      <c r="E5" s="43" t="n">
        <v>317100</v>
      </c>
      <c r="F5" s="43" t="n">
        <v>311900</v>
      </c>
      <c r="G5" s="43" t="n">
        <v>288900</v>
      </c>
      <c r="H5" s="43" t="n">
        <v>276600</v>
      </c>
      <c r="I5" s="43" t="n">
        <v>301900</v>
      </c>
      <c r="J5" s="43" t="n">
        <v>312700</v>
      </c>
      <c r="K5" s="43"/>
      <c r="L5" s="43"/>
      <c r="M5" s="43"/>
      <c r="N5" s="49" t="n">
        <f aca="false">SUMPRODUCT($B5:$M5*($B$3:$M$3&lt;=ReportMonth))</f>
        <v>2647700</v>
      </c>
      <c r="O5" s="49" t="n">
        <f aca="false">SUM(B5:M5)</f>
        <v>2647700</v>
      </c>
    </row>
    <row r="6" customFormat="false" ht="15" hidden="false" customHeight="false" outlineLevel="0" collapsed="false">
      <c r="A6" s="42" t="s">
        <v>138</v>
      </c>
      <c r="B6" s="43" t="n">
        <v>190100</v>
      </c>
      <c r="C6" s="43" t="n">
        <v>193700</v>
      </c>
      <c r="D6" s="43" t="n">
        <v>205800</v>
      </c>
      <c r="E6" s="43" t="n">
        <v>233700</v>
      </c>
      <c r="F6" s="43" t="n">
        <v>215900</v>
      </c>
      <c r="G6" s="43" t="n">
        <v>197700</v>
      </c>
      <c r="H6" s="43" t="n">
        <v>203800</v>
      </c>
      <c r="I6" s="43" t="n">
        <v>209000</v>
      </c>
      <c r="J6" s="43" t="n">
        <v>214000</v>
      </c>
      <c r="K6" s="43"/>
      <c r="L6" s="43"/>
      <c r="M6" s="43"/>
      <c r="N6" s="49" t="n">
        <f aca="false">SUMPRODUCT($B6:$M6*($B$3:$M$3&lt;=ReportMonth))</f>
        <v>1863700</v>
      </c>
      <c r="O6" s="49" t="n">
        <f aca="false">SUM(B6:M6)</f>
        <v>1863700</v>
      </c>
    </row>
    <row r="7" customFormat="false" ht="15" hidden="false" customHeight="false" outlineLevel="0" collapsed="false">
      <c r="A7" s="42" t="s">
        <v>139</v>
      </c>
      <c r="B7" s="43" t="n">
        <v>183300</v>
      </c>
      <c r="C7" s="43" t="n">
        <v>193700</v>
      </c>
      <c r="D7" s="43" t="n">
        <v>229600</v>
      </c>
      <c r="E7" s="43" t="n">
        <v>225300</v>
      </c>
      <c r="F7" s="43" t="n">
        <v>215900</v>
      </c>
      <c r="G7" s="43" t="n">
        <v>220500</v>
      </c>
      <c r="H7" s="43" t="n">
        <v>196500</v>
      </c>
      <c r="I7" s="43" t="n">
        <v>209000</v>
      </c>
      <c r="J7" s="43" t="n">
        <v>238700</v>
      </c>
      <c r="K7" s="43"/>
      <c r="L7" s="43"/>
      <c r="M7" s="43"/>
      <c r="N7" s="49" t="n">
        <f aca="false">SUMPRODUCT($B7:$M7*($B$3:$M$3&lt;=ReportMonth))</f>
        <v>1912500</v>
      </c>
      <c r="O7" s="49" t="n">
        <f aca="false">SUM(B7:M7)</f>
        <v>1912500</v>
      </c>
    </row>
    <row r="8" customFormat="false" ht="15" hidden="false" customHeight="false" outlineLevel="0" collapsed="false">
      <c r="A8" s="42" t="s">
        <v>140</v>
      </c>
      <c r="B8" s="43" t="n">
        <v>47500</v>
      </c>
      <c r="C8" s="43" t="n">
        <v>50200</v>
      </c>
      <c r="D8" s="43" t="n">
        <v>55400</v>
      </c>
      <c r="E8" s="43" t="n">
        <v>58500</v>
      </c>
      <c r="F8" s="43" t="n">
        <v>56100</v>
      </c>
      <c r="G8" s="43" t="n">
        <v>53100</v>
      </c>
      <c r="H8" s="43" t="n">
        <v>50900</v>
      </c>
      <c r="I8" s="43" t="n">
        <v>54300</v>
      </c>
      <c r="J8" s="43" t="n">
        <v>57600</v>
      </c>
      <c r="K8" s="43"/>
      <c r="L8" s="43"/>
      <c r="M8" s="43"/>
      <c r="N8" s="49" t="n">
        <f aca="false">SUMPRODUCT($B8:$M8*($B$3:$M$3&lt;=ReportMonth))</f>
        <v>483600</v>
      </c>
      <c r="O8" s="49" t="n">
        <f aca="false">SUM(B8:M8)</f>
        <v>483600</v>
      </c>
    </row>
    <row r="9" customFormat="false" ht="15" hidden="false" customHeight="false" outlineLevel="0" collapsed="false">
      <c r="A9" s="50" t="s">
        <v>141</v>
      </c>
      <c r="B9" s="51" t="n">
        <f aca="false">SUM(B5:B8)</f>
        <v>678900</v>
      </c>
      <c r="C9" s="51" t="n">
        <f aca="false">SUM(C5:C8)</f>
        <v>717400</v>
      </c>
      <c r="D9" s="51" t="n">
        <f aca="false">SUM(D5:D8)</f>
        <v>791600</v>
      </c>
      <c r="E9" s="51" t="n">
        <f aca="false">SUM(E5:E8)</f>
        <v>834600</v>
      </c>
      <c r="F9" s="51" t="n">
        <f aca="false">SUM(F5:F8)</f>
        <v>799800</v>
      </c>
      <c r="G9" s="51" t="n">
        <f aca="false">SUM(G5:G8)</f>
        <v>760200</v>
      </c>
      <c r="H9" s="51" t="n">
        <f aca="false">SUM(H5:H8)</f>
        <v>727800</v>
      </c>
      <c r="I9" s="51" t="n">
        <f aca="false">SUM(I5:I8)</f>
        <v>774200</v>
      </c>
      <c r="J9" s="51" t="n">
        <f aca="false">SUM(J5:J8)</f>
        <v>823000</v>
      </c>
      <c r="K9" s="51" t="n">
        <f aca="false">SUM(K5:K8)</f>
        <v>0</v>
      </c>
      <c r="L9" s="51" t="n">
        <f aca="false">SUM(L5:L8)</f>
        <v>0</v>
      </c>
      <c r="M9" s="51" t="n">
        <f aca="false">SUM(M5:M8)</f>
        <v>0</v>
      </c>
      <c r="N9" s="51" t="n">
        <f aca="false">SUMPRODUCT($B9:$M9*($B$3:$M$3&lt;=ReportMonth))</f>
        <v>6907500</v>
      </c>
      <c r="O9" s="51" t="n">
        <f aca="false">SUM(B9:M9)</f>
        <v>6907500</v>
      </c>
    </row>
    <row r="10" customFormat="false" ht="15" hidden="false" customHeight="false" outlineLevel="0" collapsed="false">
      <c r="A10" s="52" t="s">
        <v>142</v>
      </c>
      <c r="B10" s="53" t="n">
        <f aca="false">B9-'P&amp;L Monthly'!B13</f>
        <v>0</v>
      </c>
      <c r="C10" s="53" t="n">
        <f aca="false">C9-'P&amp;L Monthly'!C13</f>
        <v>0</v>
      </c>
      <c r="D10" s="53" t="n">
        <f aca="false">D9-'P&amp;L Monthly'!D13</f>
        <v>0</v>
      </c>
      <c r="E10" s="53" t="n">
        <f aca="false">E9-'P&amp;L Monthly'!E13</f>
        <v>0</v>
      </c>
      <c r="F10" s="53" t="n">
        <f aca="false">F9-'P&amp;L Monthly'!F13</f>
        <v>0</v>
      </c>
      <c r="G10" s="53" t="n">
        <f aca="false">G9-'P&amp;L Monthly'!G13</f>
        <v>0</v>
      </c>
      <c r="H10" s="53" t="n">
        <f aca="false">H9-'P&amp;L Monthly'!H13</f>
        <v>0</v>
      </c>
      <c r="I10" s="53" t="n">
        <f aca="false">I9-'P&amp;L Monthly'!I13</f>
        <v>0</v>
      </c>
      <c r="J10" s="53" t="n">
        <f aca="false">J9-'P&amp;L Monthly'!J13</f>
        <v>0</v>
      </c>
      <c r="K10" s="53" t="n">
        <f aca="false">K9-'P&amp;L Monthly'!K13</f>
        <v>0</v>
      </c>
      <c r="L10" s="53" t="n">
        <f aca="false">L9-'P&amp;L Monthly'!L13</f>
        <v>0</v>
      </c>
      <c r="M10" s="53" t="n">
        <f aca="false">M9-'P&amp;L Monthly'!M13</f>
        <v>0</v>
      </c>
      <c r="N10" s="53"/>
      <c r="O10" s="53"/>
    </row>
  </sheetData>
  <conditionalFormatting sqref="B10:M10">
    <cfRule type="cellIs" priority="2" operator="not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3"/>
    <col collapsed="false" customWidth="true" hidden="false" outlineLevel="0" max="14" min="14" style="0" width="18"/>
    <col collapsed="false" customWidth="true" hidden="false" outlineLevel="0" max="15" min="15" style="0" width="13"/>
  </cols>
  <sheetData>
    <row r="1" customFormat="false" ht="19.7" hidden="false" customHeight="false" outlineLevel="0" collapsed="false">
      <c r="A1" s="32" t="s">
        <v>143</v>
      </c>
    </row>
    <row r="2" customFormat="false" ht="15" hidden="false" customHeight="false" outlineLevel="0" collapsed="false">
      <c r="A2" s="33" t="s">
        <v>144</v>
      </c>
    </row>
    <row r="3" customFormat="false" ht="15" hidden="false" customHeight="false" outlineLevel="0" collapsed="false">
      <c r="B3" s="39" t="n">
        <v>1</v>
      </c>
      <c r="C3" s="39" t="n">
        <v>2</v>
      </c>
      <c r="D3" s="39" t="n">
        <v>3</v>
      </c>
      <c r="E3" s="39" t="n">
        <v>4</v>
      </c>
      <c r="F3" s="39" t="n">
        <v>5</v>
      </c>
      <c r="G3" s="39" t="n">
        <v>6</v>
      </c>
      <c r="H3" s="39" t="n">
        <v>7</v>
      </c>
      <c r="I3" s="39" t="n">
        <v>8</v>
      </c>
      <c r="J3" s="39" t="n">
        <v>9</v>
      </c>
      <c r="K3" s="39" t="n">
        <v>10</v>
      </c>
      <c r="L3" s="39" t="n">
        <v>11</v>
      </c>
      <c r="M3" s="39" t="n">
        <v>12</v>
      </c>
    </row>
    <row r="4" customFormat="false" ht="30" hidden="false" customHeight="true" outlineLevel="0" collapsed="false">
      <c r="A4" s="16" t="s">
        <v>84</v>
      </c>
      <c r="B4" s="17" t="s">
        <v>145</v>
      </c>
      <c r="C4" s="17" t="s">
        <v>146</v>
      </c>
      <c r="D4" s="17" t="s">
        <v>147</v>
      </c>
      <c r="E4" s="17" t="s">
        <v>148</v>
      </c>
      <c r="F4" s="17" t="s">
        <v>149</v>
      </c>
      <c r="G4" s="17" t="s">
        <v>150</v>
      </c>
      <c r="H4" s="17" t="s">
        <v>151</v>
      </c>
      <c r="I4" s="17" t="s">
        <v>152</v>
      </c>
      <c r="J4" s="17" t="s">
        <v>153</v>
      </c>
      <c r="K4" s="17" t="s">
        <v>154</v>
      </c>
      <c r="L4" s="17" t="s">
        <v>155</v>
      </c>
      <c r="M4" s="17" t="s">
        <v>156</v>
      </c>
      <c r="N4" s="17" t="s">
        <v>97</v>
      </c>
      <c r="O4" s="17" t="s">
        <v>157</v>
      </c>
    </row>
    <row r="5" customFormat="false" ht="15" hidden="false" customHeight="false" outlineLevel="0" collapsed="false">
      <c r="A5" s="54" t="s">
        <v>107</v>
      </c>
      <c r="B5" s="43" t="n">
        <v>608000</v>
      </c>
      <c r="C5" s="43" t="n">
        <v>644000</v>
      </c>
      <c r="D5" s="43" t="n">
        <v>716000</v>
      </c>
      <c r="E5" s="43" t="n">
        <v>751000</v>
      </c>
      <c r="F5" s="43" t="n">
        <v>716000</v>
      </c>
      <c r="G5" s="43" t="n">
        <v>680000</v>
      </c>
      <c r="H5" s="43" t="n">
        <v>658000</v>
      </c>
      <c r="I5" s="43" t="n">
        <v>694000</v>
      </c>
      <c r="J5" s="43" t="n">
        <v>737000</v>
      </c>
      <c r="K5" s="43" t="n">
        <v>787000</v>
      </c>
      <c r="L5" s="43" t="n">
        <v>873000</v>
      </c>
      <c r="M5" s="43" t="n">
        <v>966000</v>
      </c>
      <c r="N5" s="55" t="n">
        <f aca="false">SUMPRODUCT($B5:$M5*($B$3:$M$3&lt;=ReportMonth))</f>
        <v>6204000</v>
      </c>
      <c r="O5" s="55" t="n">
        <f aca="false">SUM(B5:M5)</f>
        <v>8830000</v>
      </c>
    </row>
    <row r="6" customFormat="false" ht="15" hidden="false" customHeight="false" outlineLevel="0" collapsed="false">
      <c r="A6" s="54" t="s">
        <v>12</v>
      </c>
      <c r="B6" s="43" t="n">
        <v>550000</v>
      </c>
      <c r="C6" s="43" t="n">
        <v>583000</v>
      </c>
      <c r="D6" s="43" t="n">
        <v>648000</v>
      </c>
      <c r="E6" s="43" t="n">
        <v>680000</v>
      </c>
      <c r="F6" s="43" t="n">
        <v>648000</v>
      </c>
      <c r="G6" s="43" t="n">
        <v>615000</v>
      </c>
      <c r="H6" s="43" t="n">
        <v>595000</v>
      </c>
      <c r="I6" s="43" t="n">
        <v>628000</v>
      </c>
      <c r="J6" s="43" t="n">
        <v>667000</v>
      </c>
      <c r="K6" s="43" t="n">
        <v>712000</v>
      </c>
      <c r="L6" s="43" t="n">
        <v>790000</v>
      </c>
      <c r="M6" s="43" t="n">
        <v>874000</v>
      </c>
      <c r="N6" s="55" t="n">
        <f aca="false">SUMPRODUCT($B6:$M6*($B$3:$M$3&lt;=ReportMonth))</f>
        <v>5614000</v>
      </c>
      <c r="O6" s="55" t="n">
        <f aca="false">SUM(B6:M6)</f>
        <v>7990000</v>
      </c>
    </row>
    <row r="7" customFormat="false" ht="15" hidden="false" customHeight="false" outlineLevel="0" collapsed="false">
      <c r="A7" s="54" t="s">
        <v>13</v>
      </c>
      <c r="B7" s="43" t="n">
        <v>204000</v>
      </c>
      <c r="C7" s="43" t="n">
        <v>216000</v>
      </c>
      <c r="D7" s="43" t="n">
        <v>240000</v>
      </c>
      <c r="E7" s="43" t="n">
        <v>251000</v>
      </c>
      <c r="F7" s="43" t="n">
        <v>240000</v>
      </c>
      <c r="G7" s="43" t="n">
        <v>228000</v>
      </c>
      <c r="H7" s="43" t="n">
        <v>220000</v>
      </c>
      <c r="I7" s="43" t="n">
        <v>232000</v>
      </c>
      <c r="J7" s="43" t="n">
        <v>247000</v>
      </c>
      <c r="K7" s="43" t="n">
        <v>264000</v>
      </c>
      <c r="L7" s="43" t="n">
        <v>292000</v>
      </c>
      <c r="M7" s="43" t="n">
        <v>323000</v>
      </c>
      <c r="N7" s="55" t="n">
        <f aca="false">SUMPRODUCT($B7:$M7*($B$3:$M$3&lt;=ReportMonth))</f>
        <v>2078000</v>
      </c>
      <c r="O7" s="55" t="n">
        <f aca="false">SUM(B7:M7)</f>
        <v>2957000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3"/>
  </cols>
  <sheetData>
    <row r="1" customFormat="false" ht="19.7" hidden="false" customHeight="false" outlineLevel="0" collapsed="false">
      <c r="A1" s="32" t="s">
        <v>158</v>
      </c>
    </row>
    <row r="2" customFormat="false" ht="15" hidden="false" customHeight="false" outlineLevel="0" collapsed="false">
      <c r="A2" s="33" t="s">
        <v>159</v>
      </c>
    </row>
    <row r="4" customFormat="false" ht="30" hidden="false" customHeight="true" outlineLevel="0" collapsed="false">
      <c r="A4" s="16" t="s">
        <v>160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  <c r="H4" s="17" t="s">
        <v>91</v>
      </c>
      <c r="I4" s="17" t="s">
        <v>92</v>
      </c>
      <c r="J4" s="17" t="s">
        <v>93</v>
      </c>
      <c r="K4" s="17" t="s">
        <v>94</v>
      </c>
      <c r="L4" s="17" t="s">
        <v>95</v>
      </c>
      <c r="M4" s="17" t="s">
        <v>96</v>
      </c>
    </row>
    <row r="5" customFormat="false" ht="15" hidden="false" customHeight="false" outlineLevel="0" collapsed="false">
      <c r="A5" s="54" t="s">
        <v>34</v>
      </c>
      <c r="B5" s="43" t="n">
        <v>410000</v>
      </c>
      <c r="C5" s="43" t="n">
        <v>385000</v>
      </c>
      <c r="D5" s="43" t="n">
        <v>362000</v>
      </c>
      <c r="E5" s="43" t="n">
        <v>398000</v>
      </c>
      <c r="F5" s="43" t="n">
        <v>421000</v>
      </c>
      <c r="G5" s="43" t="n">
        <v>404000</v>
      </c>
      <c r="H5" s="43" t="n">
        <v>377000</v>
      </c>
      <c r="I5" s="43" t="n">
        <v>352000</v>
      </c>
      <c r="J5" s="43" t="n">
        <v>368000</v>
      </c>
      <c r="K5" s="55"/>
      <c r="L5" s="55"/>
      <c r="M5" s="55"/>
    </row>
    <row r="6" customFormat="false" ht="15" hidden="false" customHeight="false" outlineLevel="0" collapsed="false">
      <c r="A6" s="54" t="s">
        <v>161</v>
      </c>
      <c r="B6" s="43" t="n">
        <v>218000</v>
      </c>
      <c r="C6" s="43" t="n">
        <v>226000</v>
      </c>
      <c r="D6" s="43" t="n">
        <v>241000</v>
      </c>
      <c r="E6" s="43" t="n">
        <v>252000</v>
      </c>
      <c r="F6" s="43" t="n">
        <v>247000</v>
      </c>
      <c r="G6" s="43" t="n">
        <v>236000</v>
      </c>
      <c r="H6" s="43" t="n">
        <v>229000</v>
      </c>
      <c r="I6" s="43" t="n">
        <v>244000</v>
      </c>
      <c r="J6" s="43" t="n">
        <v>261000</v>
      </c>
      <c r="K6" s="55"/>
      <c r="L6" s="55"/>
      <c r="M6" s="55"/>
    </row>
    <row r="7" customFormat="false" ht="15" hidden="false" customHeight="false" outlineLevel="0" collapsed="false">
      <c r="A7" s="54" t="s">
        <v>162</v>
      </c>
      <c r="B7" s="43" t="n">
        <v>1420000</v>
      </c>
      <c r="C7" s="43" t="n">
        <v>1465000</v>
      </c>
      <c r="D7" s="43" t="n">
        <v>1510000</v>
      </c>
      <c r="E7" s="43" t="n">
        <v>1480000</v>
      </c>
      <c r="F7" s="43" t="n">
        <v>1455000</v>
      </c>
      <c r="G7" s="43" t="n">
        <v>1490000</v>
      </c>
      <c r="H7" s="43" t="n">
        <v>1560000</v>
      </c>
      <c r="I7" s="43" t="n">
        <v>1640000</v>
      </c>
      <c r="J7" s="43" t="n">
        <v>1715000</v>
      </c>
      <c r="K7" s="55"/>
      <c r="L7" s="55"/>
      <c r="M7" s="55"/>
    </row>
    <row r="8" customFormat="false" ht="15" hidden="false" customHeight="false" outlineLevel="0" collapsed="false">
      <c r="A8" s="54" t="s">
        <v>163</v>
      </c>
      <c r="B8" s="43" t="n">
        <v>305000</v>
      </c>
      <c r="C8" s="43" t="n">
        <v>322000</v>
      </c>
      <c r="D8" s="43" t="n">
        <v>341000</v>
      </c>
      <c r="E8" s="43" t="n">
        <v>318000</v>
      </c>
      <c r="F8" s="43" t="n">
        <v>309000</v>
      </c>
      <c r="G8" s="43" t="n">
        <v>326000</v>
      </c>
      <c r="H8" s="43" t="n">
        <v>354000</v>
      </c>
      <c r="I8" s="43" t="n">
        <v>372000</v>
      </c>
      <c r="J8" s="43" t="n">
        <v>388000</v>
      </c>
      <c r="K8" s="55"/>
      <c r="L8" s="55"/>
      <c r="M8" s="55"/>
    </row>
    <row r="9" customFormat="false" ht="15" hidden="false" customHeight="false" outlineLevel="0" collapsed="false">
      <c r="A9" s="54" t="s">
        <v>164</v>
      </c>
      <c r="B9" s="55" t="n">
        <f aca="false">IF(COUNT(B5:B8)=0,"",B5+B6+B7-B8)</f>
        <v>1743000</v>
      </c>
      <c r="C9" s="55" t="n">
        <f aca="false">IF(COUNT(C5:C8)=0,"",C5+C6+C7-C8)</f>
        <v>1754000</v>
      </c>
      <c r="D9" s="55" t="n">
        <f aca="false">IF(COUNT(D5:D8)=0,"",D5+D6+D7-D8)</f>
        <v>1772000</v>
      </c>
      <c r="E9" s="55" t="n">
        <f aca="false">IF(COUNT(E5:E8)=0,"",E5+E6+E7-E8)</f>
        <v>1812000</v>
      </c>
      <c r="F9" s="55" t="n">
        <f aca="false">IF(COUNT(F5:F8)=0,"",F5+F6+F7-F8)</f>
        <v>1814000</v>
      </c>
      <c r="G9" s="55" t="n">
        <f aca="false">IF(COUNT(G5:G8)=0,"",G5+G6+G7-G8)</f>
        <v>1804000</v>
      </c>
      <c r="H9" s="55" t="n">
        <f aca="false">IF(COUNT(H5:H8)=0,"",H5+H6+H7-H8)</f>
        <v>1812000</v>
      </c>
      <c r="I9" s="55" t="n">
        <f aca="false">IF(COUNT(I5:I8)=0,"",I5+I6+I7-I8)</f>
        <v>1864000</v>
      </c>
      <c r="J9" s="55" t="n">
        <f aca="false">IF(COUNT(J5:J8)=0,"",J5+J6+J7-J8)</f>
        <v>1956000</v>
      </c>
      <c r="K9" s="55" t="str">
        <f aca="false">IF(COUNT(K5:K8)=0,"",K5+K6+K7-K8)</f>
        <v/>
      </c>
      <c r="L9" s="55" t="str">
        <f aca="false">IF(COUNT(L5:L8)=0,"",L5+L6+L7-L8)</f>
        <v/>
      </c>
      <c r="M9" s="55" t="str">
        <f aca="false">IF(COUNT(M5:M8)=0,"",M5+M6+M7-M8)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32" t="s">
        <v>165</v>
      </c>
    </row>
    <row r="2" customFormat="false" ht="15" hidden="false" customHeight="false" outlineLevel="0" collapsed="false">
      <c r="A2" s="33" t="s">
        <v>166</v>
      </c>
    </row>
    <row r="4" customFormat="false" ht="30" hidden="false" customHeight="true" outlineLevel="0" collapsed="false">
      <c r="A4" s="16" t="s">
        <v>167</v>
      </c>
      <c r="B4" s="17" t="s">
        <v>54</v>
      </c>
      <c r="C4" s="17" t="s">
        <v>168</v>
      </c>
      <c r="D4" s="17" t="s">
        <v>169</v>
      </c>
      <c r="E4" s="17" t="s">
        <v>170</v>
      </c>
      <c r="F4" s="17" t="s">
        <v>171</v>
      </c>
      <c r="G4" s="17" t="s">
        <v>141</v>
      </c>
      <c r="H4" s="17" t="s">
        <v>172</v>
      </c>
    </row>
    <row r="5" customFormat="false" ht="15" hidden="false" customHeight="false" outlineLevel="0" collapsed="false">
      <c r="A5" s="55" t="s">
        <v>173</v>
      </c>
      <c r="B5" s="43" t="n">
        <v>42000</v>
      </c>
      <c r="C5" s="43" t="n">
        <v>18000</v>
      </c>
      <c r="D5" s="43" t="n">
        <v>6000</v>
      </c>
      <c r="E5" s="43" t="n">
        <v>0</v>
      </c>
      <c r="F5" s="43" t="n">
        <v>0</v>
      </c>
      <c r="G5" s="55" t="n">
        <f aca="false">SUM(B5:F5)</f>
        <v>66000</v>
      </c>
      <c r="H5" s="56" t="n">
        <f aca="false">IF(G5=0,"",SUM(D5:F5)/G5)</f>
        <v>0.0909090909090909</v>
      </c>
    </row>
    <row r="6" customFormat="false" ht="15" hidden="false" customHeight="false" outlineLevel="0" collapsed="false">
      <c r="A6" s="55" t="s">
        <v>174</v>
      </c>
      <c r="B6" s="43" t="n">
        <v>31000</v>
      </c>
      <c r="C6" s="43" t="n">
        <v>9000</v>
      </c>
      <c r="D6" s="43" t="n">
        <v>4500</v>
      </c>
      <c r="E6" s="43" t="n">
        <v>2500</v>
      </c>
      <c r="F6" s="43" t="n">
        <v>0</v>
      </c>
      <c r="G6" s="55" t="n">
        <f aca="false">SUM(B6:F6)</f>
        <v>47000</v>
      </c>
      <c r="H6" s="56" t="n">
        <f aca="false">IF(G6=0,"",SUM(D6:F6)/G6)</f>
        <v>0.148936170212766</v>
      </c>
    </row>
    <row r="7" customFormat="false" ht="15" hidden="false" customHeight="false" outlineLevel="0" collapsed="false">
      <c r="A7" s="55" t="s">
        <v>175</v>
      </c>
      <c r="B7" s="43" t="n">
        <v>27000</v>
      </c>
      <c r="C7" s="43" t="n">
        <v>12000</v>
      </c>
      <c r="D7" s="43" t="n">
        <v>0</v>
      </c>
      <c r="E7" s="43" t="n">
        <v>0</v>
      </c>
      <c r="F7" s="43" t="n">
        <v>0</v>
      </c>
      <c r="G7" s="55" t="n">
        <f aca="false">SUM(B7:F7)</f>
        <v>39000</v>
      </c>
      <c r="H7" s="56" t="n">
        <f aca="false">IF(G7=0,"",SUM(D7:F7)/G7)</f>
        <v>0</v>
      </c>
    </row>
    <row r="8" customFormat="false" ht="15" hidden="false" customHeight="false" outlineLevel="0" collapsed="false">
      <c r="A8" s="55" t="s">
        <v>176</v>
      </c>
      <c r="B8" s="43" t="n">
        <v>19000</v>
      </c>
      <c r="C8" s="43" t="n">
        <v>6500</v>
      </c>
      <c r="D8" s="43" t="n">
        <v>7800</v>
      </c>
      <c r="E8" s="43" t="n">
        <v>3200</v>
      </c>
      <c r="F8" s="43" t="n">
        <v>1900</v>
      </c>
      <c r="G8" s="55" t="n">
        <f aca="false">SUM(B8:F8)</f>
        <v>38400</v>
      </c>
      <c r="H8" s="56" t="n">
        <f aca="false">IF(G8=0,"",SUM(D8:F8)/G8)</f>
        <v>0.3359375</v>
      </c>
    </row>
    <row r="9" customFormat="false" ht="15" hidden="false" customHeight="false" outlineLevel="0" collapsed="false">
      <c r="A9" s="55" t="s">
        <v>177</v>
      </c>
      <c r="B9" s="43" t="n">
        <v>16500</v>
      </c>
      <c r="C9" s="43" t="n">
        <v>4200</v>
      </c>
      <c r="D9" s="43" t="n">
        <v>0</v>
      </c>
      <c r="E9" s="43" t="n">
        <v>0</v>
      </c>
      <c r="F9" s="43" t="n">
        <v>0</v>
      </c>
      <c r="G9" s="55" t="n">
        <f aca="false">SUM(B9:F9)</f>
        <v>20700</v>
      </c>
      <c r="H9" s="56" t="n">
        <f aca="false">IF(G9=0,"",SUM(D9:F9)/G9)</f>
        <v>0</v>
      </c>
    </row>
    <row r="10" customFormat="false" ht="15" hidden="false" customHeight="false" outlineLevel="0" collapsed="false">
      <c r="A10" s="55" t="s">
        <v>178</v>
      </c>
      <c r="B10" s="43" t="n">
        <v>12000</v>
      </c>
      <c r="C10" s="43" t="n">
        <v>3100</v>
      </c>
      <c r="D10" s="43" t="n">
        <v>2600</v>
      </c>
      <c r="E10" s="43" t="n">
        <v>0</v>
      </c>
      <c r="F10" s="43" t="n">
        <v>0</v>
      </c>
      <c r="G10" s="55" t="n">
        <f aca="false">SUM(B10:F10)</f>
        <v>17700</v>
      </c>
      <c r="H10" s="56" t="n">
        <f aca="false">IF(G10=0,"",SUM(D10:F10)/G10)</f>
        <v>0.146892655367232</v>
      </c>
    </row>
    <row r="11" customFormat="false" ht="15" hidden="false" customHeight="false" outlineLevel="0" collapsed="false">
      <c r="A11" s="55" t="s">
        <v>179</v>
      </c>
      <c r="B11" s="43" t="n">
        <v>9500</v>
      </c>
      <c r="C11" s="43" t="n">
        <v>2800</v>
      </c>
      <c r="D11" s="43" t="n">
        <v>1500</v>
      </c>
      <c r="E11" s="43" t="n">
        <v>1200</v>
      </c>
      <c r="F11" s="43" t="n">
        <v>3600</v>
      </c>
      <c r="G11" s="55" t="n">
        <f aca="false">SUM(B11:F11)</f>
        <v>18600</v>
      </c>
      <c r="H11" s="56" t="n">
        <f aca="false">IF(G11=0,"",SUM(D11:F11)/G11)</f>
        <v>0.338709677419355</v>
      </c>
    </row>
    <row r="12" customFormat="false" ht="15" hidden="false" customHeight="false" outlineLevel="0" collapsed="false">
      <c r="A12" s="55" t="s">
        <v>180</v>
      </c>
      <c r="B12" s="43" t="n">
        <v>8000</v>
      </c>
      <c r="C12" s="43" t="n">
        <v>1900</v>
      </c>
      <c r="D12" s="43" t="n">
        <v>0</v>
      </c>
      <c r="E12" s="43" t="n">
        <v>0</v>
      </c>
      <c r="F12" s="43" t="n">
        <v>0</v>
      </c>
      <c r="G12" s="55" t="n">
        <f aca="false">SUM(B12:F12)</f>
        <v>9900</v>
      </c>
      <c r="H12" s="56" t="n">
        <f aca="false">IF(G12=0,"",SUM(D12:F12)/G12)</f>
        <v>0</v>
      </c>
    </row>
    <row r="13" customFormat="false" ht="15" hidden="false" customHeight="false" outlineLevel="0" collapsed="false">
      <c r="A13" s="46" t="s">
        <v>141</v>
      </c>
      <c r="B13" s="46" t="n">
        <f aca="false">SUM(B5:B12)</f>
        <v>165000</v>
      </c>
      <c r="C13" s="46" t="n">
        <f aca="false">SUM(C5:C12)</f>
        <v>57500</v>
      </c>
      <c r="D13" s="46" t="n">
        <f aca="false">SUM(D5:D12)</f>
        <v>22400</v>
      </c>
      <c r="E13" s="46" t="n">
        <f aca="false">SUM(E5:E12)</f>
        <v>6900</v>
      </c>
      <c r="F13" s="46" t="n">
        <f aca="false">SUM(F5:F12)</f>
        <v>5500</v>
      </c>
      <c r="G13" s="46" t="n">
        <f aca="false">SUM(G5:G12)</f>
        <v>257300</v>
      </c>
      <c r="H13" s="48" t="n">
        <f aca="false">IF(G13=0,"",SUM(D13:F13)/G13)</f>
        <v>0.135250680139915</v>
      </c>
    </row>
  </sheetData>
  <conditionalFormatting sqref="H5:H12">
    <cfRule type="cellIs" priority="2" operator="greaterThan" aboveAverage="0" equalAverage="0" bottom="0" percent="0" rank="0" text="" dxfId="1">
      <formula>0.25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32" t="s">
        <v>181</v>
      </c>
    </row>
    <row r="2" customFormat="false" ht="15" hidden="false" customHeight="false" outlineLevel="0" collapsed="false">
      <c r="A2" s="33" t="s">
        <v>182</v>
      </c>
    </row>
    <row r="3" customFormat="false" ht="15" hidden="false" customHeight="false" outlineLevel="0" collapsed="false">
      <c r="A3" s="0" t="s">
        <v>183</v>
      </c>
      <c r="B3" s="57" t="n">
        <v>6</v>
      </c>
      <c r="C3" s="58" t="s">
        <v>184</v>
      </c>
      <c r="D3" s="57" t="n">
        <v>26</v>
      </c>
    </row>
    <row r="4" customFormat="false" ht="30" hidden="false" customHeight="true" outlineLevel="0" collapsed="false">
      <c r="A4" s="16" t="s">
        <v>18</v>
      </c>
      <c r="B4" s="17" t="s">
        <v>185</v>
      </c>
      <c r="C4" s="17" t="s">
        <v>186</v>
      </c>
      <c r="D4" s="17" t="s">
        <v>187</v>
      </c>
      <c r="E4" s="17" t="s">
        <v>188</v>
      </c>
      <c r="F4" s="17" t="s">
        <v>189</v>
      </c>
      <c r="G4" s="17" t="s">
        <v>190</v>
      </c>
    </row>
    <row r="5" customFormat="false" ht="15" hidden="false" customHeight="false" outlineLevel="0" collapsed="false">
      <c r="A5" s="59" t="s">
        <v>100</v>
      </c>
      <c r="B5" s="60" t="n">
        <v>380</v>
      </c>
      <c r="C5" s="60" t="n">
        <v>310</v>
      </c>
      <c r="D5" s="43" t="n">
        <v>160000</v>
      </c>
      <c r="E5" s="61" t="n">
        <f aca="false">IF(C5=0,"",B5/(C5*12/52))</f>
        <v>5.31182795698925</v>
      </c>
      <c r="F5" s="62" t="str">
        <f aca="false">IF(E5="","",IF(E5&lt;$B$3,"Reorder",IF(E5&gt;$D$3,"Overstock","OK")))</f>
        <v>Reorder</v>
      </c>
      <c r="G5" s="56" t="n">
        <f aca="false">IF($D$12=0,"",D5/$D$12)</f>
        <v>0.113074204946996</v>
      </c>
    </row>
    <row r="6" customFormat="false" ht="15" hidden="false" customHeight="false" outlineLevel="0" collapsed="false">
      <c r="A6" s="59" t="s">
        <v>101</v>
      </c>
      <c r="B6" s="60" t="n">
        <v>820</v>
      </c>
      <c r="C6" s="60" t="n">
        <v>190</v>
      </c>
      <c r="D6" s="43" t="n">
        <v>355000</v>
      </c>
      <c r="E6" s="61" t="n">
        <f aca="false">IF(C6=0,"",B6/(C6*12/52))</f>
        <v>18.7017543859649</v>
      </c>
      <c r="F6" s="62" t="str">
        <f aca="false">IF(E6="","",IF(E6&lt;$B$3,"Reorder",IF(E6&gt;$D$3,"Overstock","OK")))</f>
        <v>OK</v>
      </c>
      <c r="G6" s="56" t="n">
        <f aca="false">IF($D$12=0,"",D6/$D$12)</f>
        <v>0.250883392226148</v>
      </c>
    </row>
    <row r="7" customFormat="false" ht="15" hidden="false" customHeight="false" outlineLevel="0" collapsed="false">
      <c r="A7" s="59" t="s">
        <v>102</v>
      </c>
      <c r="B7" s="60" t="n">
        <v>640</v>
      </c>
      <c r="C7" s="60" t="n">
        <v>120</v>
      </c>
      <c r="D7" s="43" t="n">
        <v>96000</v>
      </c>
      <c r="E7" s="61" t="n">
        <f aca="false">IF(C7=0,"",B7/(C7*12/52))</f>
        <v>23.1111111111111</v>
      </c>
      <c r="F7" s="62" t="str">
        <f aca="false">IF(E7="","",IF(E7&lt;$B$3,"Reorder",IF(E7&gt;$D$3,"Overstock","OK")))</f>
        <v>OK</v>
      </c>
      <c r="G7" s="56" t="n">
        <f aca="false">IF($D$12=0,"",D7/$D$12)</f>
        <v>0.0678445229681979</v>
      </c>
    </row>
    <row r="8" customFormat="false" ht="15" hidden="false" customHeight="false" outlineLevel="0" collapsed="false">
      <c r="A8" s="59" t="s">
        <v>103</v>
      </c>
      <c r="B8" s="60" t="n">
        <v>390</v>
      </c>
      <c r="C8" s="60" t="n">
        <v>150</v>
      </c>
      <c r="D8" s="43" t="n">
        <v>250000</v>
      </c>
      <c r="E8" s="61" t="n">
        <f aca="false">IF(C8=0,"",B8/(C8*12/52))</f>
        <v>11.2666666666667</v>
      </c>
      <c r="F8" s="62" t="str">
        <f aca="false">IF(E8="","",IF(E8&lt;$B$3,"Reorder",IF(E8&gt;$D$3,"Overstock","OK")))</f>
        <v>OK</v>
      </c>
      <c r="G8" s="56" t="n">
        <f aca="false">IF($D$12=0,"",D8/$D$12)</f>
        <v>0.176678445229682</v>
      </c>
    </row>
    <row r="9" customFormat="false" ht="15" hidden="false" customHeight="false" outlineLevel="0" collapsed="false">
      <c r="A9" s="59" t="s">
        <v>104</v>
      </c>
      <c r="B9" s="60" t="n">
        <v>560</v>
      </c>
      <c r="C9" s="60" t="n">
        <v>170</v>
      </c>
      <c r="D9" s="43" t="n">
        <v>300000</v>
      </c>
      <c r="E9" s="61" t="n">
        <f aca="false">IF(C9=0,"",B9/(C9*12/52))</f>
        <v>14.2745098039216</v>
      </c>
      <c r="F9" s="62" t="str">
        <f aca="false">IF(E9="","",IF(E9&lt;$B$3,"Reorder",IF(E9&gt;$D$3,"Overstock","OK")))</f>
        <v>OK</v>
      </c>
      <c r="G9" s="56" t="n">
        <f aca="false">IF($D$12=0,"",D9/$D$12)</f>
        <v>0.212014134275618</v>
      </c>
    </row>
    <row r="10" customFormat="false" ht="15" hidden="false" customHeight="false" outlineLevel="0" collapsed="false">
      <c r="A10" s="59" t="s">
        <v>105</v>
      </c>
      <c r="B10" s="60" t="n">
        <v>5200</v>
      </c>
      <c r="C10" s="60" t="n">
        <v>2100</v>
      </c>
      <c r="D10" s="43" t="n">
        <v>165000</v>
      </c>
      <c r="E10" s="61" t="n">
        <f aca="false">IF(C10=0,"",B10/(C10*12/52))</f>
        <v>10.7301587301587</v>
      </c>
      <c r="F10" s="62" t="str">
        <f aca="false">IF(E10="","",IF(E10&lt;$B$3,"Reorder",IF(E10&gt;$D$3,"Overstock","OK")))</f>
        <v>OK</v>
      </c>
      <c r="G10" s="56" t="n">
        <f aca="false">IF($D$12=0,"",D10/$D$12)</f>
        <v>0.11660777385159</v>
      </c>
    </row>
    <row r="11" customFormat="false" ht="15" hidden="false" customHeight="false" outlineLevel="0" collapsed="false">
      <c r="A11" s="59" t="s">
        <v>106</v>
      </c>
      <c r="B11" s="60" t="n">
        <v>4400</v>
      </c>
      <c r="C11" s="60" t="n">
        <v>640</v>
      </c>
      <c r="D11" s="43" t="n">
        <v>89000</v>
      </c>
      <c r="E11" s="61" t="n">
        <f aca="false">IF(C11=0,"",B11/(C11*12/52))</f>
        <v>29.7916666666667</v>
      </c>
      <c r="F11" s="62" t="str">
        <f aca="false">IF(E11="","",IF(E11&lt;$B$3,"Reorder",IF(E11&gt;$D$3,"Overstock","OK")))</f>
        <v>Overstock</v>
      </c>
      <c r="G11" s="56" t="n">
        <f aca="false">IF($D$12=0,"",D11/$D$12)</f>
        <v>0.0628975265017668</v>
      </c>
    </row>
    <row r="12" customFormat="false" ht="15" hidden="false" customHeight="false" outlineLevel="0" collapsed="false">
      <c r="A12" s="45" t="s">
        <v>141</v>
      </c>
      <c r="B12" s="63" t="n">
        <f aca="false">SUM(B5:B11)</f>
        <v>12390</v>
      </c>
      <c r="C12" s="63" t="n">
        <f aca="false">SUM(C5:C11)</f>
        <v>3680</v>
      </c>
      <c r="D12" s="46" t="n">
        <f aca="false">SUM(D5:D11)</f>
        <v>1415000</v>
      </c>
      <c r="E12" s="64"/>
      <c r="F12" s="45"/>
      <c r="G12" s="48"/>
    </row>
  </sheetData>
  <conditionalFormatting sqref="F5:F11">
    <cfRule type="cellIs" priority="2" operator="equal" aboveAverage="0" equalAverage="0" bottom="0" percent="0" rank="0" text="" dxfId="2">
      <formula>"Reorder"</formula>
    </cfRule>
    <cfRule type="cellIs" priority="3" operator="equal" aboveAverage="0" equalAverage="0" bottom="0" percent="0" rank="0" text="" dxfId="3">
      <formula>"Overstock"</formula>
    </cfRule>
    <cfRule type="cellIs" priority="4" operator="equal" aboveAverage="0" equalAverage="0" bottom="0" percent="0" rank="0" text="" dxfId="4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1"/>
  </cols>
  <sheetData>
    <row r="1" customFormat="false" ht="19.7" hidden="false" customHeight="false" outlineLevel="0" collapsed="false">
      <c r="A1" s="32" t="s">
        <v>191</v>
      </c>
    </row>
    <row r="2" customFormat="false" ht="15" hidden="false" customHeight="false" outlineLevel="0" collapsed="false">
      <c r="A2" s="33" t="s">
        <v>192</v>
      </c>
    </row>
    <row r="4" customFormat="false" ht="30" hidden="false" customHeight="true" outlineLevel="0" collapsed="false">
      <c r="A4" s="16" t="s">
        <v>193</v>
      </c>
      <c r="B4" s="17" t="s">
        <v>85</v>
      </c>
      <c r="C4" s="17" t="s">
        <v>86</v>
      </c>
      <c r="D4" s="17" t="s">
        <v>87</v>
      </c>
      <c r="E4" s="17" t="s">
        <v>88</v>
      </c>
      <c r="F4" s="17" t="s">
        <v>89</v>
      </c>
      <c r="G4" s="17" t="s">
        <v>90</v>
      </c>
      <c r="H4" s="17" t="s">
        <v>91</v>
      </c>
      <c r="I4" s="17" t="s">
        <v>92</v>
      </c>
      <c r="J4" s="17" t="s">
        <v>93</v>
      </c>
      <c r="K4" s="17" t="s">
        <v>94</v>
      </c>
      <c r="L4" s="17" t="s">
        <v>95</v>
      </c>
      <c r="M4" s="17" t="s">
        <v>96</v>
      </c>
    </row>
    <row r="5" customFormat="false" ht="15" hidden="false" customHeight="false" outlineLevel="0" collapsed="false">
      <c r="A5" s="59" t="s">
        <v>194</v>
      </c>
      <c r="B5" s="65" t="n">
        <v>14</v>
      </c>
      <c r="C5" s="65" t="n">
        <v>13</v>
      </c>
      <c r="D5" s="65" t="n">
        <v>12</v>
      </c>
      <c r="E5" s="65" t="n">
        <v>12</v>
      </c>
      <c r="F5" s="65" t="n">
        <v>11</v>
      </c>
      <c r="G5" s="65" t="n">
        <v>11</v>
      </c>
      <c r="H5" s="65" t="n">
        <v>10</v>
      </c>
      <c r="I5" s="65" t="n">
        <v>10</v>
      </c>
      <c r="J5" s="65" t="n">
        <v>9</v>
      </c>
      <c r="K5" s="62"/>
      <c r="L5" s="62"/>
      <c r="M5" s="62"/>
    </row>
    <row r="6" customFormat="false" ht="15" hidden="false" customHeight="false" outlineLevel="0" collapsed="false">
      <c r="A6" s="59" t="s">
        <v>38</v>
      </c>
      <c r="B6" s="59" t="n">
        <f aca="false">$B$8</f>
        <v>10</v>
      </c>
      <c r="C6" s="59" t="n">
        <f aca="false">$B$8</f>
        <v>10</v>
      </c>
      <c r="D6" s="59" t="n">
        <f aca="false">$B$8</f>
        <v>10</v>
      </c>
      <c r="E6" s="59" t="n">
        <f aca="false">$B$8</f>
        <v>10</v>
      </c>
      <c r="F6" s="59" t="n">
        <f aca="false">$B$8</f>
        <v>10</v>
      </c>
      <c r="G6" s="59" t="n">
        <f aca="false">$B$8</f>
        <v>10</v>
      </c>
      <c r="H6" s="59" t="n">
        <f aca="false">$B$8</f>
        <v>10</v>
      </c>
      <c r="I6" s="59" t="n">
        <f aca="false">$B$8</f>
        <v>10</v>
      </c>
      <c r="J6" s="59" t="n">
        <f aca="false">$B$8</f>
        <v>10</v>
      </c>
      <c r="K6" s="59" t="n">
        <f aca="false">$B$8</f>
        <v>10</v>
      </c>
      <c r="L6" s="59" t="n">
        <f aca="false">$B$8</f>
        <v>10</v>
      </c>
      <c r="M6" s="59" t="n">
        <f aca="false">$B$8</f>
        <v>10</v>
      </c>
    </row>
    <row r="8" customFormat="false" ht="15" hidden="false" customHeight="false" outlineLevel="0" collapsed="false">
      <c r="A8" s="0" t="s">
        <v>195</v>
      </c>
      <c r="B8" s="57" t="n">
        <v>10</v>
      </c>
    </row>
  </sheetData>
  <conditionalFormatting sqref="B5:M5">
    <cfRule type="expression" priority="2" aboveAverage="0" equalAverage="0" bottom="0" percent="0" rank="0" text="" dxfId="1">
      <formula>AND(ISNUMBER(B5),B5&gt;$B$8)</formula>
    </cfRule>
    <cfRule type="expression" priority="3" aboveAverage="0" equalAverage="0" bottom="0" percent="0" rank="0" text="" dxfId="0">
      <formula>AND(ISNUMBER(B5),B5&lt;=$B$8)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2026-10-16T18:18:02Z</dcterms:created>
  <dc:creator>openpyxl</dc:creator>
  <dc:description/>
  <dc:language>en-US</dc:language>
  <cp:lastModifiedBy/>
  <dcterms:modified xsi:type="dcterms:W3CDTF">2026-10-16T18:18:04Z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